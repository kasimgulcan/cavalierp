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alK\Documents\CSM - Cavalier San Marco\CSM MASTER DATA FILES - DO NOT DELETE\"/>
    </mc:Choice>
  </mc:AlternateContent>
  <xr:revisionPtr revIDLastSave="0" documentId="13_ncr:1_{C47AABB2-C4DE-468F-BBE0-3D75B6237D5F}" xr6:coauthVersionLast="47" xr6:coauthVersionMax="47" xr10:uidLastSave="{00000000-0000-0000-0000-000000000000}"/>
  <bookViews>
    <workbookView xWindow="-120" yWindow="-120" windowWidth="29040" windowHeight="17520" activeTab="1" xr2:uid="{02590327-8BC0-4A3F-ADC9-6C0C4D5D8C32}"/>
  </bookViews>
  <sheets>
    <sheet name="KULLANIM NOTLARI" sheetId="3" r:id="rId1"/>
    <sheet name="STYLES &amp; MODELS MATRIX" sheetId="1" r:id="rId2"/>
    <sheet name="MODELS" sheetId="2" r:id="rId3"/>
  </sheets>
  <externalReferences>
    <externalReference r:id="rId4"/>
  </externalReferences>
  <definedNames>
    <definedName name="_xlnm._FilterDatabase" localSheetId="1" hidden="1">'STYLES &amp; MODELS MATRIX'!$A$2:$G$1040</definedName>
    <definedName name="COLORLIST">'[1]MASTER CODE DATA'!$Q$2:$Q$999</definedName>
    <definedName name="MAINFABRIC">'[1]MASTER CODE DATA'!$O$2:$O$99</definedName>
    <definedName name="SEASON">'[1]MASTER CODE DATA'!$N$2:$N$99</definedName>
    <definedName name="STYLENAMES">'[1]STYLE NAMES'!$B$2:$B$511</definedName>
    <definedName name="YEAR">'[1]MASTER CODE DATA'!$M$2:$M$99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1" i="1" l="1"/>
  <c r="E321" i="1"/>
  <c r="D322" i="1"/>
  <c r="E322" i="1"/>
  <c r="D323" i="1"/>
  <c r="E323" i="1"/>
  <c r="D324" i="1"/>
  <c r="E324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E3" i="1"/>
  <c r="D3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321" i="1" l="1"/>
  <c r="F322" i="1"/>
  <c r="F323" i="1"/>
  <c r="F313" i="1" l="1"/>
  <c r="F317" i="1"/>
  <c r="F312" i="1"/>
  <c r="F314" i="1"/>
  <c r="F306" i="1"/>
  <c r="F308" i="1"/>
  <c r="F311" i="1"/>
  <c r="F304" i="1"/>
  <c r="F309" i="1"/>
  <c r="F307" i="1"/>
  <c r="F305" i="1"/>
  <c r="F316" i="1"/>
  <c r="F315" i="1"/>
  <c r="F302" i="1"/>
  <c r="F303" i="1"/>
  <c r="F310" i="1"/>
  <c r="F318" i="1" l="1"/>
  <c r="F319" i="1"/>
  <c r="F298" i="1" l="1"/>
  <c r="F291" i="1" l="1"/>
  <c r="F292" i="1"/>
  <c r="F290" i="1"/>
  <c r="F324" i="1" l="1"/>
  <c r="F52" i="1"/>
  <c r="F300" i="1" l="1"/>
  <c r="F320" i="1"/>
  <c r="F301" i="1"/>
  <c r="F41" i="1"/>
  <c r="F43" i="1"/>
  <c r="F42" i="1"/>
  <c r="F299" i="1"/>
  <c r="F195" i="1"/>
  <c r="F249" i="1"/>
  <c r="F87" i="1"/>
  <c r="F72" i="1"/>
  <c r="F161" i="1"/>
  <c r="F193" i="1"/>
  <c r="F271" i="1"/>
  <c r="F181" i="1"/>
  <c r="F106" i="1"/>
  <c r="F297" i="1"/>
  <c r="F153" i="1"/>
  <c r="F105" i="1"/>
  <c r="F104" i="1"/>
  <c r="F166" i="1"/>
  <c r="F226" i="1"/>
  <c r="F293" i="1"/>
  <c r="F296" i="1"/>
  <c r="F194" i="1"/>
  <c r="F273" i="1"/>
  <c r="F15" i="1"/>
  <c r="F88" i="1"/>
  <c r="F248" i="1"/>
  <c r="F78" i="1"/>
  <c r="F254" i="1"/>
  <c r="F192" i="1"/>
  <c r="F115" i="1"/>
  <c r="F89" i="1"/>
  <c r="F277" i="1"/>
  <c r="F191" i="1"/>
  <c r="F21" i="1"/>
  <c r="F111" i="1"/>
  <c r="F110" i="1"/>
  <c r="F107" i="1"/>
  <c r="F108" i="1"/>
  <c r="F223" i="1"/>
  <c r="F294" i="1"/>
  <c r="F224" i="1"/>
  <c r="F225" i="1"/>
  <c r="F295" i="1"/>
  <c r="F255" i="1"/>
  <c r="F256" i="1"/>
  <c r="F189" i="1"/>
  <c r="F190" i="1"/>
  <c r="F185" i="1"/>
  <c r="F188" i="1"/>
  <c r="F187" i="1"/>
  <c r="F186" i="1"/>
  <c r="F40" i="1"/>
  <c r="F45" i="1"/>
  <c r="F46" i="1"/>
  <c r="F44" i="1"/>
  <c r="F184" i="1"/>
  <c r="F183" i="1"/>
  <c r="F182" i="1"/>
  <c r="F23" i="1" l="1"/>
  <c r="F148" i="1"/>
  <c r="F81" i="1"/>
  <c r="F126" i="1"/>
  <c r="F164" i="1"/>
  <c r="F202" i="1"/>
  <c r="F231" i="1"/>
  <c r="F281" i="1"/>
  <c r="F201" i="1"/>
  <c r="F47" i="1"/>
  <c r="F177" i="1"/>
  <c r="F152" i="1"/>
  <c r="F198" i="1"/>
  <c r="F137" i="1"/>
  <c r="F244" i="1"/>
  <c r="F165" i="1"/>
  <c r="F22" i="1"/>
  <c r="F80" i="1"/>
  <c r="F266" i="1"/>
  <c r="F61" i="1"/>
  <c r="F289" i="1"/>
  <c r="F112" i="1"/>
  <c r="F236" i="1"/>
  <c r="F276" i="1"/>
  <c r="F219" i="1"/>
  <c r="F54" i="1"/>
  <c r="F121" i="1"/>
  <c r="F79" i="1"/>
  <c r="F264" i="1"/>
  <c r="F168" i="1"/>
  <c r="F245" i="1"/>
  <c r="F283" i="1"/>
  <c r="F13" i="1"/>
  <c r="F67" i="1"/>
  <c r="F19" i="1"/>
  <c r="F120" i="1"/>
  <c r="F50" i="1"/>
  <c r="F272" i="1"/>
  <c r="F167" i="1"/>
  <c r="F246" i="1"/>
  <c r="F174" i="1"/>
  <c r="F8" i="1"/>
  <c r="F69" i="1"/>
  <c r="F119" i="1"/>
  <c r="F155" i="1"/>
  <c r="F268" i="1"/>
  <c r="F211" i="1"/>
  <c r="F227" i="1"/>
  <c r="F128" i="1"/>
  <c r="F117" i="1"/>
  <c r="F173" i="1"/>
  <c r="F240" i="1"/>
  <c r="F5" i="1"/>
  <c r="F71" i="1"/>
  <c r="F66" i="1"/>
  <c r="F124" i="1"/>
  <c r="F18" i="1"/>
  <c r="F220" i="1"/>
  <c r="F26" i="1"/>
  <c r="F157" i="1"/>
  <c r="F150" i="1"/>
  <c r="F262" i="1"/>
  <c r="F260" i="1"/>
  <c r="F207" i="1"/>
  <c r="F62" i="1"/>
  <c r="F86" i="1"/>
  <c r="F228" i="1"/>
  <c r="F286" i="1"/>
  <c r="F34" i="1"/>
  <c r="F270" i="1"/>
  <c r="F116" i="1"/>
  <c r="F170" i="1"/>
  <c r="F233" i="1"/>
  <c r="F238" i="1"/>
  <c r="F278" i="1"/>
  <c r="F10" i="1"/>
  <c r="F215" i="1"/>
  <c r="F68" i="1"/>
  <c r="F63" i="1"/>
  <c r="F55" i="1"/>
  <c r="F39" i="1"/>
  <c r="F141" i="1"/>
  <c r="F131" i="1"/>
  <c r="F222" i="1"/>
  <c r="F28" i="1"/>
  <c r="F156" i="1"/>
  <c r="F30" i="1"/>
  <c r="F149" i="1"/>
  <c r="F241" i="1"/>
  <c r="F163" i="1"/>
  <c r="F159" i="1"/>
  <c r="F179" i="1"/>
  <c r="F230" i="1"/>
  <c r="F35" i="1"/>
  <c r="F269" i="1"/>
  <c r="F134" i="1"/>
  <c r="F175" i="1"/>
  <c r="F232" i="1"/>
  <c r="F196" i="1"/>
  <c r="F274" i="1"/>
  <c r="F7" i="1"/>
  <c r="F203" i="1"/>
  <c r="F216" i="1"/>
  <c r="F74" i="1"/>
  <c r="F77" i="1"/>
  <c r="F59" i="1"/>
  <c r="F38" i="1"/>
  <c r="F140" i="1"/>
  <c r="F132" i="1"/>
  <c r="F53" i="1"/>
  <c r="F27" i="1"/>
  <c r="F160" i="1"/>
  <c r="F31" i="1"/>
  <c r="F280" i="1"/>
  <c r="F247" i="1"/>
  <c r="F250" i="1"/>
  <c r="F125" i="1"/>
  <c r="F212" i="1"/>
  <c r="F206" i="1"/>
  <c r="F109" i="1"/>
  <c r="F275" i="1"/>
  <c r="F122" i="1"/>
  <c r="F214" i="1"/>
  <c r="F60" i="1"/>
  <c r="F261" i="1"/>
  <c r="F210" i="1"/>
  <c r="F287" i="1"/>
  <c r="F257" i="1"/>
  <c r="F285" i="1"/>
  <c r="F17" i="1"/>
  <c r="F135" i="1"/>
  <c r="F171" i="1"/>
  <c r="F235" i="1"/>
  <c r="F237" i="1"/>
  <c r="F11" i="1"/>
  <c r="F9" i="1"/>
  <c r="F200" i="1"/>
  <c r="F218" i="1"/>
  <c r="F70" i="1"/>
  <c r="F64" i="1"/>
  <c r="F57" i="1"/>
  <c r="F37" i="1"/>
  <c r="F139" i="1"/>
  <c r="F130" i="1"/>
  <c r="F49" i="1"/>
  <c r="F25" i="1"/>
  <c r="F154" i="1"/>
  <c r="F33" i="1"/>
  <c r="F279" i="1"/>
  <c r="F127" i="1"/>
  <c r="F58" i="1"/>
  <c r="F267" i="1"/>
  <c r="F85" i="1"/>
  <c r="F265" i="1"/>
  <c r="F143" i="1"/>
  <c r="F234" i="1"/>
  <c r="F199" i="1"/>
  <c r="F75" i="1"/>
  <c r="F73" i="1"/>
  <c r="F56" i="1"/>
  <c r="F36" i="1"/>
  <c r="F129" i="1"/>
  <c r="F51" i="1"/>
  <c r="F29" i="1"/>
  <c r="F136" i="1"/>
  <c r="F32" i="1"/>
  <c r="F114" i="1"/>
  <c r="F263" i="1"/>
  <c r="F118" i="1"/>
  <c r="F243" i="1"/>
  <c r="F76" i="1"/>
  <c r="F221" i="1"/>
  <c r="F208" i="1"/>
  <c r="F82" i="1"/>
  <c r="F288" i="1"/>
  <c r="F176" i="1"/>
  <c r="F146" i="1"/>
  <c r="F229" i="1"/>
  <c r="F142" i="1"/>
  <c r="F180" i="1"/>
  <c r="F205" i="1"/>
  <c r="F145" i="1"/>
  <c r="F84" i="1"/>
  <c r="F252" i="1"/>
  <c r="F258" i="1"/>
  <c r="F282" i="1"/>
  <c r="F16" i="1"/>
  <c r="F133" i="1"/>
  <c r="F172" i="1"/>
  <c r="F242" i="1"/>
  <c r="F4" i="1"/>
  <c r="F6" i="1"/>
  <c r="F217" i="1"/>
  <c r="F259" i="1"/>
  <c r="F178" i="1"/>
  <c r="F209" i="1"/>
  <c r="F83" i="1"/>
  <c r="F253" i="1"/>
  <c r="F24" i="1"/>
  <c r="F144" i="1"/>
  <c r="F284" i="1"/>
  <c r="F151" i="1"/>
  <c r="F14" i="1"/>
  <c r="F169" i="1"/>
  <c r="F239" i="1"/>
  <c r="F251" i="1"/>
  <c r="F12" i="1"/>
  <c r="F147" i="1"/>
  <c r="F204" i="1"/>
  <c r="F197" i="1"/>
  <c r="F65" i="1"/>
  <c r="F162" i="1"/>
  <c r="F123" i="1"/>
  <c r="F20" i="1"/>
  <c r="F48" i="1"/>
  <c r="F158" i="1"/>
  <c r="F138" i="1"/>
  <c r="F213" i="1"/>
  <c r="F113" i="1"/>
  <c r="F3" i="1" l="1"/>
</calcChain>
</file>

<file path=xl/sharedStrings.xml><?xml version="1.0" encoding="utf-8"?>
<sst xmlns="http://schemas.openxmlformats.org/spreadsheetml/2006/main" count="1120" uniqueCount="560">
  <si>
    <t>AK</t>
  </si>
  <si>
    <t>MODEL WEARS SIZE S - 36/38</t>
  </si>
  <si>
    <t>WOMEN</t>
  </si>
  <si>
    <t>HDJ</t>
  </si>
  <si>
    <t>MEN</t>
  </si>
  <si>
    <t>MODEL WEARS SIZE M - 46</t>
  </si>
  <si>
    <t>ALİSA KAPTAN</t>
  </si>
  <si>
    <t>172 CM</t>
  </si>
  <si>
    <t>56 KG</t>
  </si>
  <si>
    <t>TURKIYE</t>
  </si>
  <si>
    <t>HESSEL DE JONG</t>
  </si>
  <si>
    <t>186 CM</t>
  </si>
  <si>
    <t>NETHERLANDS</t>
  </si>
  <si>
    <t>90 CM</t>
  </si>
  <si>
    <t>61 CM</t>
  </si>
  <si>
    <t>94 CM</t>
  </si>
  <si>
    <t>39 EU</t>
  </si>
  <si>
    <t>MODEL AGENCY</t>
  </si>
  <si>
    <t>MODEL NAME</t>
  </si>
  <si>
    <t>MODEL REFERENCE</t>
  </si>
  <si>
    <t>MODEL GENDER</t>
  </si>
  <si>
    <t>MODEL AGE</t>
  </si>
  <si>
    <t>MODEL ORIGIN</t>
  </si>
  <si>
    <t>CAPTION</t>
  </si>
  <si>
    <t>HEIGHT</t>
  </si>
  <si>
    <t>WEIGHT</t>
  </si>
  <si>
    <t>CHEST</t>
  </si>
  <si>
    <t>WAIST</t>
  </si>
  <si>
    <t>HIPS</t>
  </si>
  <si>
    <t>SHOE SIZE</t>
  </si>
  <si>
    <t>DIRECT</t>
  </si>
  <si>
    <t>SELECT MODELS</t>
  </si>
  <si>
    <t>(start here)
STYLE NAME</t>
  </si>
  <si>
    <t>PRODUCT NAME</t>
  </si>
  <si>
    <t>PRODUCT CODE</t>
  </si>
  <si>
    <t>MAIN COLOR</t>
  </si>
  <si>
    <t>SECONDARY COLOR</t>
  </si>
  <si>
    <t>FULL PRODUCT CODE</t>
  </si>
  <si>
    <t>TORONTO</t>
  </si>
  <si>
    <t>WINDSOR</t>
  </si>
  <si>
    <t>DUBLIN</t>
  </si>
  <si>
    <t>YORK</t>
  </si>
  <si>
    <t>ALASKA</t>
  </si>
  <si>
    <t>VOLARE</t>
  </si>
  <si>
    <t>FLEECE-X</t>
  </si>
  <si>
    <t>RAIN-X</t>
  </si>
  <si>
    <t>LONDON-H</t>
  </si>
  <si>
    <t>MANCHESTER</t>
  </si>
  <si>
    <t>PARIS</t>
  </si>
  <si>
    <t>LONDON</t>
  </si>
  <si>
    <t>PARIS-P</t>
  </si>
  <si>
    <t>LONDON-P</t>
  </si>
  <si>
    <t>SANTORINI</t>
  </si>
  <si>
    <t>CAMBRIDGE</t>
  </si>
  <si>
    <t>LUCCA-3XB</t>
  </si>
  <si>
    <t>CAPRI-3XB</t>
  </si>
  <si>
    <t>LAZIO-3XB</t>
  </si>
  <si>
    <t>ROMA-3XB</t>
  </si>
  <si>
    <t>TORINO-2XB</t>
  </si>
  <si>
    <t>LUCCA</t>
  </si>
  <si>
    <t>DISCONTINUED</t>
  </si>
  <si>
    <t>CAPRI</t>
  </si>
  <si>
    <t>LAZIO</t>
  </si>
  <si>
    <t>ROMA</t>
  </si>
  <si>
    <t>TORINO</t>
  </si>
  <si>
    <t>NANDO</t>
  </si>
  <si>
    <t>FERNANDO</t>
  </si>
  <si>
    <t>OTTAWA</t>
  </si>
  <si>
    <t>CAPE TOWN</t>
  </si>
  <si>
    <t>MONTANA</t>
  </si>
  <si>
    <t>CANNES</t>
  </si>
  <si>
    <t>PINE VALLEY</t>
  </si>
  <si>
    <t>STAR</t>
  </si>
  <si>
    <t>PAOLO</t>
  </si>
  <si>
    <t>PAOLA</t>
  </si>
  <si>
    <t>PAOLO-JR</t>
  </si>
  <si>
    <t>PAOLA-JR</t>
  </si>
  <si>
    <t>ENZO</t>
  </si>
  <si>
    <t>ENZA</t>
  </si>
  <si>
    <t>ENZO-JR</t>
  </si>
  <si>
    <t>ENZA-JR</t>
  </si>
  <si>
    <t>PRAGUE</t>
  </si>
  <si>
    <t>MIAMI</t>
  </si>
  <si>
    <t>PRAGUE-JR</t>
  </si>
  <si>
    <t>MIAMI-JR</t>
  </si>
  <si>
    <t>MARCELA</t>
  </si>
  <si>
    <t>ASPEN</t>
  </si>
  <si>
    <t>HELSINKI</t>
  </si>
  <si>
    <t>COPENHAGEN</t>
  </si>
  <si>
    <t>OSLO</t>
  </si>
  <si>
    <t>LUGANO</t>
  </si>
  <si>
    <t>PANDORA</t>
  </si>
  <si>
    <t>PANDORA-P</t>
  </si>
  <si>
    <t>ATLANTA</t>
  </si>
  <si>
    <t>CANADA</t>
  </si>
  <si>
    <t>QUEBEC</t>
  </si>
  <si>
    <t>CHICAGO</t>
  </si>
  <si>
    <t>MONTE NEGRO</t>
  </si>
  <si>
    <t>ALEX</t>
  </si>
  <si>
    <t>SALERNO</t>
  </si>
  <si>
    <t>SALVADOR</t>
  </si>
  <si>
    <t>BELLA</t>
  </si>
  <si>
    <t>ASPEN-JR</t>
  </si>
  <si>
    <t>LEONARDO</t>
  </si>
  <si>
    <t>ALEA</t>
  </si>
  <si>
    <t>ATLANTIS</t>
  </si>
  <si>
    <t>ALLEGRA</t>
  </si>
  <si>
    <t>LUNA</t>
  </si>
  <si>
    <t>AREZZO</t>
  </si>
  <si>
    <t>GORLA MINORE</t>
  </si>
  <si>
    <t>ZANNONE</t>
  </si>
  <si>
    <t>SAN DIEGO</t>
  </si>
  <si>
    <t>MALTA</t>
  </si>
  <si>
    <t>VENEZIA</t>
  </si>
  <si>
    <t>VERONA</t>
  </si>
  <si>
    <t>SAVONA-JR</t>
  </si>
  <si>
    <t>PADOVA-JR</t>
  </si>
  <si>
    <t>SAN DIEGO-JR</t>
  </si>
  <si>
    <t>MALTA-JR</t>
  </si>
  <si>
    <t>OXFORD</t>
  </si>
  <si>
    <t>CAPPA</t>
  </si>
  <si>
    <t>CAPPA-P</t>
  </si>
  <si>
    <t>TORONTO-P</t>
  </si>
  <si>
    <t>WINDSOR-P</t>
  </si>
  <si>
    <t>DUBLIN-P</t>
  </si>
  <si>
    <t>YORK-P</t>
  </si>
  <si>
    <t>ALASKA-P</t>
  </si>
  <si>
    <t>VOLARE-P</t>
  </si>
  <si>
    <t>FLEECE-XP</t>
  </si>
  <si>
    <t>RAIN-XP</t>
  </si>
  <si>
    <t>SANTINI</t>
  </si>
  <si>
    <t>PISA</t>
  </si>
  <si>
    <t>AREZZO-TBF</t>
  </si>
  <si>
    <t>GORLA MINORE-TBF</t>
  </si>
  <si>
    <t>ENZO-TBF</t>
  </si>
  <si>
    <t>ENZA-TBF</t>
  </si>
  <si>
    <t>MONTERREY</t>
  </si>
  <si>
    <t>MONTERREY-P</t>
  </si>
  <si>
    <t>zzz</t>
  </si>
  <si>
    <t>FLEECE BLANKET</t>
  </si>
  <si>
    <t>TORONTO / FLC0001NAVGLD</t>
  </si>
  <si>
    <t>TORONTO / FLC0001PURGLD</t>
  </si>
  <si>
    <t>TORONTO / FLC0001GRNNAV</t>
  </si>
  <si>
    <t>TORONTO / FLC0001BLKRGL</t>
  </si>
  <si>
    <t>TORONTO / FLC0001REDGLD</t>
  </si>
  <si>
    <t>TORONTO / FLC0001BORGLD</t>
  </si>
  <si>
    <t>TORONTO / FLC0001LILWHT</t>
  </si>
  <si>
    <t>TORONTO / FLC0001BLKGLD</t>
  </si>
  <si>
    <t>TORONTO / FLC0001NAVRED</t>
  </si>
  <si>
    <t>TORONTO / FLC0001REDWHT</t>
  </si>
  <si>
    <t>FLEECE BLANKET WITH COLLAR</t>
  </si>
  <si>
    <t>WINDSOR / FLC0001BRWRGL</t>
  </si>
  <si>
    <t>WINDSOR / FLC0001ELBORG</t>
  </si>
  <si>
    <t>COOLER BLANKET</t>
  </si>
  <si>
    <t>DUBLIN / KNT0002MTCNAV</t>
  </si>
  <si>
    <t>TWO COLOR FLEECE BLANKET</t>
  </si>
  <si>
    <t>YORK / FLC0001GRNNAV</t>
  </si>
  <si>
    <t>YORK / FLC0001NAVBOR</t>
  </si>
  <si>
    <t>WINTER STABLE RUG</t>
  </si>
  <si>
    <t>ALASKA / RPS0003BLKBLK</t>
  </si>
  <si>
    <t>ALASKA / RPS0003NAVNAV</t>
  </si>
  <si>
    <t>ALASKA / RPS0003BORBOR</t>
  </si>
  <si>
    <t>ALASKA / RPS0003ELBELB</t>
  </si>
  <si>
    <t>ALASKA / RPS0003GRNGRN</t>
  </si>
  <si>
    <t>FLY SHEET</t>
  </si>
  <si>
    <t>VOLARE / MSH0004LGYBOR</t>
  </si>
  <si>
    <t>VOLARE / MSH0004BLKBLK</t>
  </si>
  <si>
    <t>FLEECE EXERCISE SHEET</t>
  </si>
  <si>
    <t>FLEECE-X / FLC0001BLKGLD</t>
  </si>
  <si>
    <t>FLEECE-X / FLC0001BORGLD</t>
  </si>
  <si>
    <t>FLEECE-X / FLC0001PURGLD</t>
  </si>
  <si>
    <t>FLEECE-X / FLC0001BLKRGL</t>
  </si>
  <si>
    <t>FLEECE-X / FLC0001DGYBLK</t>
  </si>
  <si>
    <t>RAINPROOF EXERCISE SHEET</t>
  </si>
  <si>
    <t>RAIN-X / RPN0005BBLGLD</t>
  </si>
  <si>
    <t>RAIN-X / RPN0005BORBLK</t>
  </si>
  <si>
    <t>RAIN-X / RPN0005BEGBLK</t>
  </si>
  <si>
    <t>RAIN-X / RPN0005BLKGLD</t>
  </si>
  <si>
    <t>HERITAGE DIAMOND SADDLE PAD</t>
  </si>
  <si>
    <t>LONDON-H / TWL0007BEGBRW</t>
  </si>
  <si>
    <t>LONDON-H / TWL0007WHTWHT</t>
  </si>
  <si>
    <t>SUEDE SADDLE PAD</t>
  </si>
  <si>
    <t>MANCHESTER / SUE0010NAVNAV</t>
  </si>
  <si>
    <t>MANCHESTER / SUE0010RYLRYL</t>
  </si>
  <si>
    <t>MANCHESTER / SUE0010CHOCHO</t>
  </si>
  <si>
    <t>MANCHESTER / SUE0010LATLAT</t>
  </si>
  <si>
    <t>HONEYCOMB SADDLE PAD</t>
  </si>
  <si>
    <t>PARIS / STN0008FCHBLK</t>
  </si>
  <si>
    <t>PARIS / TWL0008NAVGLD</t>
  </si>
  <si>
    <t>PARIS / TWL0008RYLBRZ</t>
  </si>
  <si>
    <t>PARIS / TWL0008WHTWHT</t>
  </si>
  <si>
    <t>PARIS / STN0008BLKGLD</t>
  </si>
  <si>
    <t>PARIS / TWL0009ORGORG</t>
  </si>
  <si>
    <t>PARIS / STN0008ELBELB</t>
  </si>
  <si>
    <t>DIAMOND SADDLE PAD</t>
  </si>
  <si>
    <t>LONDON / STN0006BLKBLK</t>
  </si>
  <si>
    <t>LONDON / STN0006BRWGLD</t>
  </si>
  <si>
    <t>LONDON / TWL0007NAVGLD</t>
  </si>
  <si>
    <t>LONDON / STN0006BLKRGL</t>
  </si>
  <si>
    <t>LONDON / TWL0007DORDOR</t>
  </si>
  <si>
    <t>LONDON / TWL0007PANBRW</t>
  </si>
  <si>
    <t>LONDON / STN0006BORGLD</t>
  </si>
  <si>
    <t>HONEYCOMB SADDLEPAD</t>
  </si>
  <si>
    <t>PARIS-P / STN0008FCHBLK</t>
  </si>
  <si>
    <t>PARIS-P / STN0008ELBELB</t>
  </si>
  <si>
    <t>PARIS-P / STN0008ORGORG</t>
  </si>
  <si>
    <t>PARIS-P / STN0008NAVGLD</t>
  </si>
  <si>
    <t>PARIS-P / STN0008BLKGLD</t>
  </si>
  <si>
    <t>PARIS-P / STN0008REDBLK</t>
  </si>
  <si>
    <t xml:space="preserve"> DIAMOND SADDLE PAD</t>
  </si>
  <si>
    <t>LONDON-P / STN0006NAVNAV</t>
  </si>
  <si>
    <t>LONDON-P / TWL0007WHTWHT</t>
  </si>
  <si>
    <t>LONDON-P / STN0006BLKGLD</t>
  </si>
  <si>
    <t>BRAIDED BELT</t>
  </si>
  <si>
    <t>SANTORINI / BRD0012BORBOR</t>
  </si>
  <si>
    <t>SANTORINI / BRD0012BORNAV</t>
  </si>
  <si>
    <t>SANTORINI / BRD0012BEGBRW</t>
  </si>
  <si>
    <t>SANTORINI / BRD0012NAVNAV</t>
  </si>
  <si>
    <t>SANTORINI / BRD0012BEGBEG</t>
  </si>
  <si>
    <t>SANTORINI / BRD0012GRYBBL</t>
  </si>
  <si>
    <t>SANTORINI / BRD0012BRWNAV</t>
  </si>
  <si>
    <t>SANTORINI / BRD0012DGYDGY</t>
  </si>
  <si>
    <t>SANTORINI / BRD0012MLGMLG</t>
  </si>
  <si>
    <t>SANTORINI / BRD0012MLBMLB</t>
  </si>
  <si>
    <t>SANTORINI / BRD0012LGYLGY</t>
  </si>
  <si>
    <t>SANTORINI / BRD0012WHTWHT</t>
  </si>
  <si>
    <t>SANTORINI / BRD0012REDRED</t>
  </si>
  <si>
    <t>SANTORINI / BRD0012BLKBLK</t>
  </si>
  <si>
    <t>SANTORINI / BRD0012GRNGRN</t>
  </si>
  <si>
    <t>COMPETITION TIE</t>
  </si>
  <si>
    <t>CAMBRIDGE / PES0000WHTWHT</t>
  </si>
  <si>
    <t>KID'S RIDING SOCKS 
3 PACK BUNDLE</t>
  </si>
  <si>
    <t>LUCCA-3XB / NYL00003XBST1</t>
  </si>
  <si>
    <t>LUCCA-3XB / NYL00003XBST2</t>
  </si>
  <si>
    <t>SUMMER RIDING SOCKS 
3 PACK BUNDLE</t>
  </si>
  <si>
    <t>CAPRI-3XB / NYL00003XBST1</t>
  </si>
  <si>
    <t>CAPRI-3XB / NYL00003XBST2</t>
  </si>
  <si>
    <t>CAPRI-3XB / NYL00003XBST3</t>
  </si>
  <si>
    <t>CAPRI-3XB / NYL00003XBST4</t>
  </si>
  <si>
    <t>CAPRI-3XB / NYL00003XBST5</t>
  </si>
  <si>
    <t>CAPRI-3XB / NYL00003XBST6</t>
  </si>
  <si>
    <t>GEO ALL-SEASON RIDING SOCKS 
3 PACK BUNDLE</t>
  </si>
  <si>
    <t>LAZIO-3XB / NYL00003XBST1</t>
  </si>
  <si>
    <t>4 SEASON RIDING SOCKS 
3 PACK BUNDLE</t>
  </si>
  <si>
    <t>ROMA-3XB / NYL00003XBST1</t>
  </si>
  <si>
    <t>WINTER RIDING SOCKS 
2 PACK BUNDLE</t>
  </si>
  <si>
    <t>TORINO-2XB / NYL00002XBST1</t>
  </si>
  <si>
    <t xml:space="preserve">LUCCA / </t>
  </si>
  <si>
    <t xml:space="preserve">CAPRI / </t>
  </si>
  <si>
    <t xml:space="preserve">LAZIO / </t>
  </si>
  <si>
    <t xml:space="preserve">ROMA / </t>
  </si>
  <si>
    <t xml:space="preserve">TORINO / </t>
  </si>
  <si>
    <t>NAME TAG</t>
  </si>
  <si>
    <t>NANDO / GRO0000DGYDGY</t>
  </si>
  <si>
    <t>KEY RING</t>
  </si>
  <si>
    <t>FERNANDO / RIB0000BLKBLK</t>
  </si>
  <si>
    <t>BEANIE</t>
  </si>
  <si>
    <t>OTTAWA / ACR0000BLKBLK</t>
  </si>
  <si>
    <t>BASEBALL CAP</t>
  </si>
  <si>
    <t>CAPE TOWN / COT0000BLKBLK</t>
  </si>
  <si>
    <t>CAPE TOWN / COT0000SNDSND</t>
  </si>
  <si>
    <t>MEN'S SOFT TRAINING POLO SHORT SLEEVE</t>
  </si>
  <si>
    <t>MONTANA / PIQ0013NAVWHT</t>
  </si>
  <si>
    <t>MONTANA / PIQ0013BLKWHT</t>
  </si>
  <si>
    <t>MONTANA / PIQ0013WHTWHT</t>
  </si>
  <si>
    <t>MONTANA / PIQ0013BORWHT</t>
  </si>
  <si>
    <t>WOMEN'S SOFT TRAINING POLO</t>
  </si>
  <si>
    <t>CANNES / PIQ0013BORBEG</t>
  </si>
  <si>
    <t>CANNES / PIQ0013NAVBEG</t>
  </si>
  <si>
    <t>BOY'S SOFT TRAINING POLO SHORT SLEEVE</t>
  </si>
  <si>
    <t>PINE VALLEY / PIQ0013NAVWHT</t>
  </si>
  <si>
    <t>GIRL'S COMPETITION POLO SHORT SLEEVE</t>
  </si>
  <si>
    <t>STAR / PIQ0014WHTWHT</t>
  </si>
  <si>
    <t>STAR / PIQ0014LILLIL</t>
  </si>
  <si>
    <t>STAR / PIQ0014PNKPNK</t>
  </si>
  <si>
    <t>MEN'S COMPETITION POLO LONG SLEEVE</t>
  </si>
  <si>
    <t>PAOLO / PIQ0015WHTWHT</t>
  </si>
  <si>
    <t>PAOLO / PIQ0015WHTNAV</t>
  </si>
  <si>
    <t>PAOLO / PIQ0015NAVWHT</t>
  </si>
  <si>
    <t>WOMEN'S COMPETITION POLO LONG SLEEVE</t>
  </si>
  <si>
    <t>PAOLA / PIQ0015WHTWHT</t>
  </si>
  <si>
    <t>PAOLA / PIQ0015WHTNAV</t>
  </si>
  <si>
    <t>PAOLA / PIQ0015NAVWHT</t>
  </si>
  <si>
    <t>PAOLA / SUP0017BORBOR</t>
  </si>
  <si>
    <t>BOY'S COMPETITION POLO LONG SLEEVE</t>
  </si>
  <si>
    <t>PAOLO-JR / PIQ0015WHTWHT</t>
  </si>
  <si>
    <t>PAOLO-JR / PIQ0015WHTNAV</t>
  </si>
  <si>
    <t>PAOLO-JR / PIQ0015NAVWHT</t>
  </si>
  <si>
    <t>GIRL'S COMPETITION POLO LONG SLEEVE</t>
  </si>
  <si>
    <t>PAOLA-JR / PIQ0015WHTWHT</t>
  </si>
  <si>
    <t>PAOLA-JR / PIQ0015WHTNAV</t>
  </si>
  <si>
    <t>PAOLA-JR / PIQ0015NAVWHT</t>
  </si>
  <si>
    <t>PAOLA-JR / SUP0017BORBOR</t>
  </si>
  <si>
    <t>MEN'S COMPETITION POLO SHORT SLEEVE</t>
  </si>
  <si>
    <t>ENZO / PIQ0015WHTWHT</t>
  </si>
  <si>
    <t>ENZO / PIQ0015WHTNAV</t>
  </si>
  <si>
    <t>ENZO / PIQ0015NAVWHT</t>
  </si>
  <si>
    <t>WOMEN'S COMPETITION POLO SHORT SLEEVE</t>
  </si>
  <si>
    <t>ENZA / PIQ0015WHTWHT</t>
  </si>
  <si>
    <t>ENZA / PIQ0015WHTNAV</t>
  </si>
  <si>
    <t>ENZA / PIQ0015NAVWHT</t>
  </si>
  <si>
    <t>BOY'S COMPETITION POLO SHORT SLEEVE</t>
  </si>
  <si>
    <t>ENZO-JR / PIQ0015WHTWHT</t>
  </si>
  <si>
    <t>ENZO-JR / PIQ0015WHTNAV</t>
  </si>
  <si>
    <t>ENZO-JR / PIQ0015NAVWHT</t>
  </si>
  <si>
    <t>ENZA-JR / PIQ0015WHTWHT</t>
  </si>
  <si>
    <t>ENZA-JR / PIQ0015WHTNAV</t>
  </si>
  <si>
    <t>ENZA-JR / PIQ0015NAVWHT</t>
  </si>
  <si>
    <t>PRAGUE / PIQ0015WHTNAV</t>
  </si>
  <si>
    <t>PRAGUE / PIQ0015NAVWHT</t>
  </si>
  <si>
    <t>MIAMI / PIQ0015WHTNAV</t>
  </si>
  <si>
    <t>MIAMI / PIQ0015NAVWHT</t>
  </si>
  <si>
    <t>PRAGUE-JR / PIQ0015WHTNAV</t>
  </si>
  <si>
    <t>PRAGUE-JR / PIQ0015NAVWHT</t>
  </si>
  <si>
    <t>MIAMI-JR / PIQ0015WHTNAV</t>
  </si>
  <si>
    <t>MIAMI-JR / PIQ0015NAVWHT</t>
  </si>
  <si>
    <t>WOMEN'S COMPETITION SHIRT BIB PANEL</t>
  </si>
  <si>
    <t>MARCELA / SUP0016MNKWHT</t>
  </si>
  <si>
    <t>WOMEN'S LONG SLEEVE BASE LAYER QUARTER ZIP</t>
  </si>
  <si>
    <t>ASPEN / SUP0017LILLIL</t>
  </si>
  <si>
    <t>ASPEN / SUP0017NAVNAV</t>
  </si>
  <si>
    <t>ASPEN / SUP0017BLKBLK</t>
  </si>
  <si>
    <t>ASPEN / SUP0017BEGBEG</t>
  </si>
  <si>
    <t>ASPEN / SUP0017BORBOR</t>
  </si>
  <si>
    <t>ASPEN / SUP0017DGYDGY</t>
  </si>
  <si>
    <t>ASPEN / SUP0017GRNGRN</t>
  </si>
  <si>
    <t>MEN'S LONG SLEEVE BASE LAYER QUARTER ZIP</t>
  </si>
  <si>
    <t>HELSINKI / SUP0018LGYLGY</t>
  </si>
  <si>
    <t xml:space="preserve">MEN'S LONG SLEEVE BASE LAYER </t>
  </si>
  <si>
    <t>COPENHAGEN / SUP0019BLKBLK</t>
  </si>
  <si>
    <t>COPENHAGEN / SUP0020NAVNAV</t>
  </si>
  <si>
    <t>OSLO / SUP0021NAVBEG</t>
  </si>
  <si>
    <t>OSLO / SUP0022DGYLGY</t>
  </si>
  <si>
    <t>MEN'S COMPETITION SHIRT LONG SLEEVE SPREAD COLLAR</t>
  </si>
  <si>
    <t>MEN'S COMPETITION SHIRT LONG SLEEVE B.D. COLLAR</t>
  </si>
  <si>
    <t>LUGANO / PIQ0015WHTWHT</t>
  </si>
  <si>
    <t>LUGANO / PIQ0015NAVWHT</t>
  </si>
  <si>
    <t>KNIT EAR BONNET</t>
  </si>
  <si>
    <t>PANDORA / KNT0000NAVWHT</t>
  </si>
  <si>
    <t>PANDORA / KNT0000BLKRED</t>
  </si>
  <si>
    <t>PANDORA / KNT0000BORGLD</t>
  </si>
  <si>
    <t>PANDORA / KNT0000BRWGLD</t>
  </si>
  <si>
    <t>PANDORA / KNT0000GRNGLD</t>
  </si>
  <si>
    <t>PANDORA / KNT0000NAVGLD</t>
  </si>
  <si>
    <t>PANDORA / KNT0000BLKWHT</t>
  </si>
  <si>
    <t>PANDORA-P / KNT0000BORGLD</t>
  </si>
  <si>
    <t>PANDORA-P / KNT0000BRWGLD</t>
  </si>
  <si>
    <t>PANDORA-P / KNT0000GRNGLD</t>
  </si>
  <si>
    <t>PANDORA-P / KNT0000NAVGLD</t>
  </si>
  <si>
    <t>PANDORA-P / KNT0000BLKGLD</t>
  </si>
  <si>
    <t>MEN'S PUFFER VEST</t>
  </si>
  <si>
    <t>ATLANTA / NYL0000BLKBLK</t>
  </si>
  <si>
    <t>ATLANTA / NYL0000NAVNAV</t>
  </si>
  <si>
    <t>ATLANTA / NYL0000PETPET</t>
  </si>
  <si>
    <t>ATLANTA / NYL0000GRNGRN</t>
  </si>
  <si>
    <t>WOMEN'S PUFFER VEST</t>
  </si>
  <si>
    <t>CANADA / NYL0000CRMCRM</t>
  </si>
  <si>
    <t>CANADA / NYL0000VIOVIO</t>
  </si>
  <si>
    <t>CANADA / NYL0000BLKBLK</t>
  </si>
  <si>
    <t>CANADA / NYL0000NAVNAV</t>
  </si>
  <si>
    <t>KID'S PUFFER VEST</t>
  </si>
  <si>
    <t>QUEBEC / NYL0000BLKBLK</t>
  </si>
  <si>
    <t>QUEBEC / NYL0000NAVNAV</t>
  </si>
  <si>
    <t xml:space="preserve">MEN'S FLEECE JUMPER </t>
  </si>
  <si>
    <t>CHICAGO / FLC0001GRYBLK</t>
  </si>
  <si>
    <t>MEN'S SWEAT JUMPER</t>
  </si>
  <si>
    <t>MONTE NEGRO / SWT0024GRYBLK</t>
  </si>
  <si>
    <t>KID'S FLEECE JUMPER</t>
  </si>
  <si>
    <t>ALEX / FLC0001PURPUR</t>
  </si>
  <si>
    <t>STABLE CURTAIN</t>
  </si>
  <si>
    <t>SALERNO / RPS0003BLKBLK</t>
  </si>
  <si>
    <t>BOX GUARD</t>
  </si>
  <si>
    <t>SALVADOR / RPS0003BLKBLK</t>
  </si>
  <si>
    <t>WOMEN'S TECH T-SHIRT</t>
  </si>
  <si>
    <t>BELLA / SUP0025BLKBLK</t>
  </si>
  <si>
    <t>GIRL'S LONG SLEEVE BASE LAYER QUARTER ZIP</t>
  </si>
  <si>
    <t>ASPEN-JR / SUP0017DGYDGY</t>
  </si>
  <si>
    <t>ASPEN-JR / SUP0017BORBOR</t>
  </si>
  <si>
    <t>MEN'S KNEE GRIP PRO BREECHES</t>
  </si>
  <si>
    <t>LEONARDO / TJR0026WHTWHT</t>
  </si>
  <si>
    <t>LEONARDO / TJR0026BEGBEG</t>
  </si>
  <si>
    <t>LEONARDO / TJR0026BLKBLK</t>
  </si>
  <si>
    <t>LEONARDO / TJR0026NAVNAV</t>
  </si>
  <si>
    <t>LEONARDO / TJR0026STGSTG</t>
  </si>
  <si>
    <t>LEONARDO / TJR0026TAUTAU</t>
  </si>
  <si>
    <t>WOMEN'S KNEE GRIP PRO BREECHES</t>
  </si>
  <si>
    <t>ALEA / TJR0027WHTWHT</t>
  </si>
  <si>
    <t>ALEA / TJR0027BEGBEG</t>
  </si>
  <si>
    <t>ALEA / TJR0027BLKBLK</t>
  </si>
  <si>
    <t>ALEA / TJR0027NAVNAV</t>
  </si>
  <si>
    <t>ALEA / TJR0027DGYDGY</t>
  </si>
  <si>
    <t>ALEA / TJR0027TAUTAU</t>
  </si>
  <si>
    <t>ALEA / TJR0027GRNGRN</t>
  </si>
  <si>
    <t>KID'S UNISEX KNEE GRIP PRO BREECHES</t>
  </si>
  <si>
    <t>ATLANTIS / TJR0029WHTWHT</t>
  </si>
  <si>
    <t>ATLANTIS / TJR0029BLKBLK</t>
  </si>
  <si>
    <t>ATLANTIS / TJR0029NAVNAV</t>
  </si>
  <si>
    <t>WOMEN'S FULL GRIP PRO LEGGINGS</t>
  </si>
  <si>
    <t>ALLEGRA / TJR0028BLKBLK</t>
  </si>
  <si>
    <t>ALLEGRA / TJR0028NAVNAV</t>
  </si>
  <si>
    <t>ALLEGRA / TJR0028DGYDGY</t>
  </si>
  <si>
    <t>ALLEGRA / TJR0028GRNGRN</t>
  </si>
  <si>
    <t>ALLEGRA / TJR0028TAUTAU</t>
  </si>
  <si>
    <t>GIRL'S FULL GRIP PRO LEGGINGS</t>
  </si>
  <si>
    <t>LUNA / TJR0028BLKBLK</t>
  </si>
  <si>
    <t>LUNA / TJR0028NAVNAV</t>
  </si>
  <si>
    <t>LUNA / TJR0028TAUTAU</t>
  </si>
  <si>
    <t>MEN'S PRO COMPETITION JACKET</t>
  </si>
  <si>
    <t>AREZZO / TJR0026BLKBLK</t>
  </si>
  <si>
    <t>AREZZO / TJR0026DGYDGY</t>
  </si>
  <si>
    <t>WOMEN'S PRO COMPETITION JACKET</t>
  </si>
  <si>
    <t>GORLA MINORE / TJR0027BLKBLK</t>
  </si>
  <si>
    <t>ZANNONE / SUP0016LGYLGY</t>
  </si>
  <si>
    <t>MEN'S TECH TRAINING POLO SHORT SLEEVE</t>
  </si>
  <si>
    <t>SAN DIEGO / PIQ0015WHTWHT</t>
  </si>
  <si>
    <t>SAN DIEGO / PIQ0015NAVNAV</t>
  </si>
  <si>
    <t>SAN DIEGO / PIQ0015LGYLGY</t>
  </si>
  <si>
    <t>SAN DIEGO / PIQ0015DGYDGY</t>
  </si>
  <si>
    <t>SAN DIEGO / PIQ0015DBLDBL</t>
  </si>
  <si>
    <t>WOMEN'S TECH TRAINING POLO SHORT SLEEVE</t>
  </si>
  <si>
    <t>MALTA / PIQ0015WHTWHT</t>
  </si>
  <si>
    <t>MALTA / PIQ0015NAVNAV</t>
  </si>
  <si>
    <t>MALTA / PIQ0015BLKBLK</t>
  </si>
  <si>
    <t>MALTA / PIQ0015LILLIL</t>
  </si>
  <si>
    <t>MALTA / PIQ0015DGYDGY</t>
  </si>
  <si>
    <t>BELLA / SUP0030WHTWHT</t>
  </si>
  <si>
    <t>BELLA / SUP0030ECRECR</t>
  </si>
  <si>
    <t>BELLA / SUP0030ROZROZ</t>
  </si>
  <si>
    <t>BELLA / SUP0030MNKMNK</t>
  </si>
  <si>
    <t>BELLA / SUP0030LGYLGY</t>
  </si>
  <si>
    <t>BELLA / SUP0030ANTANT</t>
  </si>
  <si>
    <t>BELLA / SUP0030BLKBLK</t>
  </si>
  <si>
    <t>VENEZIA / PIQ0015WHTWHT</t>
  </si>
  <si>
    <t>VENEZIA / PIQ0015NAVNAV</t>
  </si>
  <si>
    <t>VERONA / PIQ0015WHTWHT</t>
  </si>
  <si>
    <t>VERONA / PIQ0015TAUTAU</t>
  </si>
  <si>
    <t>SAVONA-JR / SUP0016PNKPNK</t>
  </si>
  <si>
    <t>PADOVA-JR / SUP0016MNTMNT</t>
  </si>
  <si>
    <t>BOY'S TECH TRAINING POLO SHORT SLEEVE</t>
  </si>
  <si>
    <t>SAN DIEGO-JR / PIQ0015TURTUR</t>
  </si>
  <si>
    <t>SAN DIEGO-JR / PIQ0015NAVNAV</t>
  </si>
  <si>
    <t>GIRL'S TECH TRAINING POLO SHORT SLEEVE</t>
  </si>
  <si>
    <t>MALTA-JR / PIQ0015NAVNAV</t>
  </si>
  <si>
    <t>MALTA-JR / PIQ0015PNKPNK</t>
  </si>
  <si>
    <t>KNIT COMPETITION TIE</t>
  </si>
  <si>
    <t>OXFORD / KNT0000WHTWHT</t>
  </si>
  <si>
    <t>TECH EAR BONNET</t>
  </si>
  <si>
    <t>CAPPA / TJR0031BLKBLK</t>
  </si>
  <si>
    <t>CAPPA / TJR0031NAVNAV</t>
  </si>
  <si>
    <t>CAPPA-P / TJR0031BLKBLK</t>
  </si>
  <si>
    <t>CAPPA-P / TJR0031NAVNAV</t>
  </si>
  <si>
    <t>TORONTO-P / FLC0001NAVGLD</t>
  </si>
  <si>
    <t>TORONTO-P / FLC0001PURGLD</t>
  </si>
  <si>
    <t>TORONTO-P / FLC0001GRNNAV</t>
  </si>
  <si>
    <t>TORONTO-P / FLC0001BLKRGL</t>
  </si>
  <si>
    <t>TORONTO-P / FLC0001REDGLD</t>
  </si>
  <si>
    <t>TORONTO-P / FLC0001BORGLD</t>
  </si>
  <si>
    <t>TORONTO-P / FLC0001LILWHT</t>
  </si>
  <si>
    <t>TORONTO-P / FLC0001BLKGLD</t>
  </si>
  <si>
    <t>TORONTO-P / FLC0001NAVRED</t>
  </si>
  <si>
    <t>TORONTO-P / FLC0001REDWHT</t>
  </si>
  <si>
    <t>WINDSOR-P / FLC0001BRWRGL</t>
  </si>
  <si>
    <t>WINDSOR-P / FLC0001ELBORG</t>
  </si>
  <si>
    <t>DUBLIN-P / KNT0002MTCNAV</t>
  </si>
  <si>
    <t>YORK-P / FLC0001GRNNAV</t>
  </si>
  <si>
    <t>YORK-P / FLC0001NAVBOR</t>
  </si>
  <si>
    <t>ALASKA-P / RPS0003BLKBLK</t>
  </si>
  <si>
    <t>ALASKA-P / RPS0003NAVNAV</t>
  </si>
  <si>
    <t>ALASKA-P / RPS0003BORBOR</t>
  </si>
  <si>
    <t>ALASKA-P / RPS0003ELBELB</t>
  </si>
  <si>
    <t>ALASKA-P / RPS0003GRNGRN</t>
  </si>
  <si>
    <t>VOLARE-P / MSH0004LGYBOR</t>
  </si>
  <si>
    <t>VOLARE-P / MSH0004BLKBLK</t>
  </si>
  <si>
    <t>FLEECE-XP / FLC0001BLKGLD</t>
  </si>
  <si>
    <t>FLEECE-XP / FLC0001BORGLD</t>
  </si>
  <si>
    <t>FLEECE-XP / FLC0001PURGLD</t>
  </si>
  <si>
    <t>FLEECE-XP / FLC0001BLKRGL</t>
  </si>
  <si>
    <t>FLEECE-XP / FLC0001DGYBLK</t>
  </si>
  <si>
    <t>RAIN-XP / RPN0005BBLGLD</t>
  </si>
  <si>
    <t>RAIN-XP / RPN0005BORBLK</t>
  </si>
  <si>
    <t>RAIN-XP / RPN0005BEGBLK</t>
  </si>
  <si>
    <t>RAIN-XP / RPN0005BLKGLD</t>
  </si>
  <si>
    <t>SANTINI / BRD0002BEGBEG</t>
  </si>
  <si>
    <t>SANTINI / BRD0002BLKBLK</t>
  </si>
  <si>
    <t>SANTINI / BRD0002NAVNAV</t>
  </si>
  <si>
    <t>PISA / TJR0027ELBELB</t>
  </si>
  <si>
    <t>MEN'S PRO COMPETITION JACKET X TEAM TÜRKİYE</t>
  </si>
  <si>
    <t>AREZZO-TBF / TJR0026REDRED</t>
  </si>
  <si>
    <t>WOMEN'S PRO COMPETITION JACKET X TEAM TÜRKİYE</t>
  </si>
  <si>
    <t>GORLA MINORE-TBF / TJR0027REDRED</t>
  </si>
  <si>
    <t>MEN'S COMPETITION POLO SHORT SLEEVE X TEAM TÜRKİYE</t>
  </si>
  <si>
    <t>ENZO-TBF / TJR0015WHTRED</t>
  </si>
  <si>
    <t>WOMEN'S COMPETITION POLO SHORT SLEEVE X TEAM TÜRKİYE</t>
  </si>
  <si>
    <t>ENZA-TBF / TJR0015WHTRED</t>
  </si>
  <si>
    <t>SEASONAL STABLE RUG</t>
  </si>
  <si>
    <t>MONTERREY / RPS0032BBLBBL</t>
  </si>
  <si>
    <t>MONTERREY-P / RPS0032BBLBBL</t>
  </si>
  <si>
    <t>zzz       zzz</t>
  </si>
  <si>
    <t>100 CM</t>
  </si>
  <si>
    <t>77 CM</t>
  </si>
  <si>
    <t>98 CM</t>
  </si>
  <si>
    <t>43 EU</t>
  </si>
  <si>
    <t>77 KG</t>
  </si>
  <si>
    <t>GHOST</t>
  </si>
  <si>
    <t>GHT</t>
  </si>
  <si>
    <t>MILANO</t>
  </si>
  <si>
    <t>MILANO / SUP0023WHTWHT</t>
  </si>
  <si>
    <t>SANTIAGO</t>
  </si>
  <si>
    <t>SANTIAGO / BRD0003GRYBLK</t>
  </si>
  <si>
    <t>SANTIAGO / BRD0003OCNBLK</t>
  </si>
  <si>
    <t>BANDANA</t>
  </si>
  <si>
    <t>FONDI-3XB</t>
  </si>
  <si>
    <t>ALEA-W</t>
  </si>
  <si>
    <t>LEONARDO-W</t>
  </si>
  <si>
    <t>ATLANTIS-W</t>
  </si>
  <si>
    <t>HEADBAND</t>
  </si>
  <si>
    <t>BANDANA / CNE0034BLKBLK</t>
  </si>
  <si>
    <t>CAPE TOWN / CNE0035BLKBLK</t>
  </si>
  <si>
    <t>CAPE TOWN / CNE0035BEGBEG</t>
  </si>
  <si>
    <t>FONDI-3XB / CNE0036ST1ST1</t>
  </si>
  <si>
    <t>FONDI-3XB / CNE0036ST2ST2</t>
  </si>
  <si>
    <t>FONDI-3XB / CNE0036ST3ST3</t>
  </si>
  <si>
    <t>FONDI-3XB / CNE0036ST4ST4</t>
  </si>
  <si>
    <t>FONDI-3XB / CNE0036ST5ST5</t>
  </si>
  <si>
    <t>FONDI-3XB / CNE0036ST6ST6</t>
  </si>
  <si>
    <t>FONDI-3XB / CNE0036ST7ST7</t>
  </si>
  <si>
    <t>WOMEN'S KNEE GRIP PRO WINTER BREECHES</t>
  </si>
  <si>
    <t>ALEA-W / TJR0037WHTWHT</t>
  </si>
  <si>
    <t>ALEA-W / TJR0037BLKBLK</t>
  </si>
  <si>
    <t>MEN'S KNEE GRIP PRO WINTER BREECHES</t>
  </si>
  <si>
    <t>LEONARDO-W / TJR0037WHTWHT</t>
  </si>
  <si>
    <t>LEONARDO-W / TJR0037BLKBLK</t>
  </si>
  <si>
    <t>KID'S UNISEX KNEE GRIP PRO WINTER BREECHES</t>
  </si>
  <si>
    <t>ATLANTIS-W / TJR0037WHTWHT</t>
  </si>
  <si>
    <t>ATLANTIS-W / TJR0037BLKBLK</t>
  </si>
  <si>
    <t>PAOLA-TBF</t>
  </si>
  <si>
    <t>WOMEN'S COMPETITION POLO LONG SLEEVE X TEAM TÜRKİYE</t>
  </si>
  <si>
    <t>PAOLA-TBF / TJR0015WHTRED</t>
  </si>
  <si>
    <t>PAOLO-TBF</t>
  </si>
  <si>
    <t>MEN'S COMPETITION POLO LONG SLEEVE X TEAM TÜRKİYE</t>
  </si>
  <si>
    <t>PAOLO-TBF / TJR0015WHTRED</t>
  </si>
  <si>
    <t>MARBELLA</t>
  </si>
  <si>
    <t>WOMEN'S LONG SLEEVE CASUAL SHIRT</t>
  </si>
  <si>
    <t>MARBELLA / COM0033WHTBLE</t>
  </si>
  <si>
    <t>NAPOLI</t>
  </si>
  <si>
    <t>NAPOLI / COM0033WHTBLE</t>
  </si>
  <si>
    <t>VENETA</t>
  </si>
  <si>
    <t>WOMEN'S OVERSIZE CASUAL SHIRT</t>
  </si>
  <si>
    <t>VENETA / TJR0038BLKBLK</t>
  </si>
  <si>
    <t>VENETA / TJR0038TAUTAU</t>
  </si>
  <si>
    <t>VENETA / TJR0038STBSTB</t>
  </si>
  <si>
    <t>HER YENİ ÜRÜN GİRDİĞİNDE UNIQUE OLAN MODEL/RENK KODU, MASTER PRODUCT AND CODES excelindeki CODE GENERATOR sayfasının  B-C-D sütunlarının manuel olarak ve değer yapıştırarak!  kopyalanması lazım. 
Bu yapıştırma doığru yapıdığında renkler ve FULL PRODUCT CODE otomatik formülle gelecek ve buraya girilecek model ref. İ site yönetimi otomatik eşleştirecek</t>
  </si>
  <si>
    <t>FORMÜLLÜ HÜCRELER</t>
  </si>
  <si>
    <t>MANUEL GİRİLMESİ GEREKEN HÜCRELER</t>
  </si>
  <si>
    <t>MANUEL</t>
  </si>
  <si>
    <t>ASPEN-STRASS</t>
  </si>
  <si>
    <t>WOMEN'S LONG SLEEVE BASE LAYER QUARTER ZIP WITH STRASS</t>
  </si>
  <si>
    <t>ASPEN-STRASS / TJR0038BRWBRW</t>
  </si>
  <si>
    <t>BROWN</t>
  </si>
  <si>
    <t>R.TOPWN_BLY0113W_TJR0038BRWBRW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</si>
</sst>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9"/>
      <color theme="0"/>
      <name val="Aptos Narrow"/>
      <family val="2"/>
      <scheme val="minor"/>
    </font>
    <font>
      <b/>
      <sz val="10"/>
      <name val="Aptos Narrow"/>
      <family val="2"/>
      <charset val="162"/>
      <scheme val="minor"/>
    </font>
    <font>
      <b/>
      <sz val="10"/>
      <color theme="0" tint="-0.499984740745262"/>
      <name val="Aptos Narrow"/>
      <family val="2"/>
      <charset val="162"/>
      <scheme val="minor"/>
    </font>
    <font>
      <b/>
      <sz val="9"/>
      <color theme="1" tint="0.34998626667073579"/>
      <name val="Aptos Narrow"/>
      <family val="2"/>
      <scheme val="minor"/>
    </font>
    <font>
      <sz val="10"/>
      <name val="Aptos Narrow"/>
      <family val="2"/>
      <charset val="162"/>
      <scheme val="minor"/>
    </font>
    <font>
      <b/>
      <sz val="10"/>
      <color rgb="FFFF0000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3" fillId="0" borderId="0"/>
    <xf numFmtId="0" fontId="10" fillId="0" borderId="0"/>
    <xf numFmtId="0" fontId="11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center" vertical="top" wrapText="1"/>
    </xf>
    <xf numFmtId="0" fontId="4" fillId="2" borderId="0" xfId="1" applyFont="1" applyFill="1" applyAlignment="1">
      <alignment horizontal="center" vertical="top" wrapText="1"/>
    </xf>
    <xf numFmtId="0" fontId="5" fillId="0" borderId="2" xfId="0" applyFont="1" applyBorder="1" applyAlignment="1" applyProtection="1">
      <alignment horizontal="center"/>
      <protection locked="0"/>
    </xf>
    <xf numFmtId="0" fontId="6" fillId="0" borderId="2" xfId="0" quotePrefix="1" applyFont="1" applyBorder="1" applyAlignment="1">
      <alignment horizontal="center"/>
    </xf>
    <xf numFmtId="0" fontId="7" fillId="4" borderId="0" xfId="1" applyFont="1" applyFill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5" fillId="5" borderId="2" xfId="0" applyFont="1" applyFill="1" applyBorder="1" applyAlignment="1" applyProtection="1">
      <alignment horizontal="center"/>
      <protection locked="0"/>
    </xf>
    <xf numFmtId="0" fontId="9" fillId="0" borderId="2" xfId="0" quotePrefix="1" applyFont="1" applyBorder="1" applyAlignment="1">
      <alignment horizontal="center"/>
    </xf>
    <xf numFmtId="0" fontId="9" fillId="5" borderId="2" xfId="0" applyFont="1" applyFill="1" applyBorder="1" applyAlignment="1" applyProtection="1">
      <alignment horizontal="center"/>
      <protection locked="0"/>
    </xf>
    <xf numFmtId="0" fontId="7" fillId="4" borderId="0" xfId="0" applyFont="1" applyFill="1" applyAlignment="1">
      <alignment horizontal="center"/>
    </xf>
    <xf numFmtId="0" fontId="7" fillId="4" borderId="0" xfId="2" applyFont="1" applyFill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0" fontId="2" fillId="6" borderId="4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D628A53C-1004-4A3F-9B47-C01C9F2997CE}"/>
    <cellStyle name="Normal 2 2 2" xfId="2" xr:uid="{3AD631CD-C702-4325-B3E5-2D79A57676FF}"/>
    <cellStyle name="Normal 2 4" xfId="4" xr:uid="{17FB8A93-58ED-45C7-9482-DEA39C6CCD3C}"/>
    <cellStyle name="Normal 5" xfId="3" xr:uid="{18002BCE-807D-49AC-AF49-594E5A8F13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malK\Documents\CSM%20-%20Cavalier%20San%20Marco\CSM%20MASTER%20DATA%20FILES%20-%20DO%20NOT%20DELETE\CSM%20MASTER%20PRODUCT%20&amp;%20CODES.xlsx" TargetMode="External"/><Relationship Id="rId1" Type="http://schemas.openxmlformats.org/officeDocument/2006/relationships/externalLinkPath" Target="CSM%20MASTER%20PRODUCT%20&amp;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&amp; HOW TO USE"/>
      <sheetName val="STYLE NAMES"/>
      <sheetName val="CODE GENERATOR"/>
      <sheetName val="SKU LIST - LINKED"/>
      <sheetName val="MASTER CODE DATA"/>
      <sheetName val="CATEGORY ID"/>
      <sheetName val="FABRIC-MATERIAL TYPE CODES"/>
      <sheetName val="CSM ACTIVE PRICE LIST"/>
    </sheetNames>
    <sheetDataSet>
      <sheetData sheetId="0"/>
      <sheetData sheetId="1">
        <row r="2">
          <cell r="B2" t="str">
            <v>ABU DHABI</v>
          </cell>
        </row>
        <row r="3">
          <cell r="B3" t="str">
            <v>ALABAMA</v>
          </cell>
        </row>
        <row r="4">
          <cell r="B4" t="str">
            <v>ALASKA</v>
          </cell>
        </row>
        <row r="5">
          <cell r="B5" t="str">
            <v>ALASKA-P</v>
          </cell>
        </row>
        <row r="6">
          <cell r="B6" t="str">
            <v>ALBANIA</v>
          </cell>
        </row>
        <row r="7">
          <cell r="B7" t="str">
            <v>ALBANY</v>
          </cell>
        </row>
        <row r="8">
          <cell r="B8" t="str">
            <v>ALEA</v>
          </cell>
        </row>
        <row r="9">
          <cell r="B9" t="str">
            <v>ALEA-W</v>
          </cell>
        </row>
        <row r="10">
          <cell r="B10" t="str">
            <v>ALEX</v>
          </cell>
        </row>
        <row r="11">
          <cell r="B11" t="str">
            <v>ALLEGRA</v>
          </cell>
        </row>
        <row r="12">
          <cell r="B12" t="str">
            <v>ALMEIRA</v>
          </cell>
        </row>
        <row r="13">
          <cell r="B13" t="str">
            <v>AMALFI</v>
          </cell>
        </row>
        <row r="14">
          <cell r="B14" t="str">
            <v>AMSTERDAM</v>
          </cell>
        </row>
        <row r="15">
          <cell r="B15" t="str">
            <v>ANCONA</v>
          </cell>
        </row>
        <row r="16">
          <cell r="B16" t="str">
            <v>ANDORRA</v>
          </cell>
        </row>
        <row r="17">
          <cell r="B17" t="str">
            <v>ANGOLA</v>
          </cell>
        </row>
        <row r="18">
          <cell r="B18" t="str">
            <v>AREZZO</v>
          </cell>
        </row>
        <row r="19">
          <cell r="B19" t="str">
            <v>AREZZO-TBF</v>
          </cell>
        </row>
        <row r="20">
          <cell r="B20" t="str">
            <v>ARGENTINA</v>
          </cell>
        </row>
        <row r="21">
          <cell r="B21" t="str">
            <v>ARIZONA</v>
          </cell>
        </row>
        <row r="22">
          <cell r="B22" t="str">
            <v>ARKANSAS</v>
          </cell>
        </row>
        <row r="23">
          <cell r="B23" t="str">
            <v>ASINARA</v>
          </cell>
        </row>
        <row r="24">
          <cell r="B24" t="str">
            <v>ASPEN</v>
          </cell>
        </row>
        <row r="25">
          <cell r="B25" t="str">
            <v>ASPEN-STRASS</v>
          </cell>
        </row>
        <row r="26">
          <cell r="B26" t="str">
            <v>ASPEN-JR</v>
          </cell>
        </row>
        <row r="27">
          <cell r="B27" t="str">
            <v>ATLANTA</v>
          </cell>
        </row>
        <row r="28">
          <cell r="B28" t="str">
            <v>ATLANTIS</v>
          </cell>
        </row>
        <row r="29">
          <cell r="B29" t="str">
            <v>ATLANTIS-W</v>
          </cell>
        </row>
        <row r="30">
          <cell r="B30" t="str">
            <v>AUGUSTA</v>
          </cell>
        </row>
        <row r="31">
          <cell r="B31" t="str">
            <v>AUSTIN</v>
          </cell>
        </row>
        <row r="32">
          <cell r="B32" t="str">
            <v>AUSTRALIA</v>
          </cell>
        </row>
        <row r="33">
          <cell r="B33" t="str">
            <v>AUSTRIA</v>
          </cell>
        </row>
        <row r="34">
          <cell r="B34" t="str">
            <v>BADMINTON</v>
          </cell>
        </row>
        <row r="35">
          <cell r="B35" t="str">
            <v>BALI</v>
          </cell>
        </row>
        <row r="36">
          <cell r="B36" t="str">
            <v>BALMORAL</v>
          </cell>
        </row>
        <row r="37">
          <cell r="B37" t="str">
            <v>BALTIMORE</v>
          </cell>
        </row>
        <row r="38">
          <cell r="B38" t="str">
            <v>BANDANA</v>
          </cell>
        </row>
        <row r="39">
          <cell r="B39" t="str">
            <v>BARBADOS</v>
          </cell>
        </row>
        <row r="40">
          <cell r="B40" t="str">
            <v>BARCELONA</v>
          </cell>
        </row>
        <row r="41">
          <cell r="B41" t="str">
            <v>BARI</v>
          </cell>
        </row>
        <row r="42">
          <cell r="B42" t="str">
            <v>BASEL</v>
          </cell>
        </row>
        <row r="43">
          <cell r="B43" t="str">
            <v>BELFAST</v>
          </cell>
        </row>
        <row r="44">
          <cell r="B44" t="str">
            <v>BELGRADE</v>
          </cell>
        </row>
        <row r="45">
          <cell r="B45" t="str">
            <v>BELIZE</v>
          </cell>
        </row>
        <row r="46">
          <cell r="B46" t="str">
            <v>BELLA</v>
          </cell>
        </row>
        <row r="47">
          <cell r="B47" t="str">
            <v>BELLEVILLE</v>
          </cell>
        </row>
        <row r="48">
          <cell r="B48" t="str">
            <v>BENIN</v>
          </cell>
        </row>
        <row r="49">
          <cell r="B49" t="str">
            <v>BERGAMO</v>
          </cell>
        </row>
        <row r="50">
          <cell r="B50" t="str">
            <v>BERLIN</v>
          </cell>
        </row>
        <row r="51">
          <cell r="B51" t="str">
            <v>BERN</v>
          </cell>
        </row>
        <row r="52">
          <cell r="B52" t="str">
            <v>BILBAO</v>
          </cell>
        </row>
        <row r="53">
          <cell r="B53" t="str">
            <v>BIRMINGHAM</v>
          </cell>
        </row>
        <row r="54">
          <cell r="B54" t="str">
            <v>BOGOTA</v>
          </cell>
        </row>
        <row r="55">
          <cell r="B55" t="str">
            <v>BOLOGNA</v>
          </cell>
        </row>
        <row r="56">
          <cell r="B56" t="str">
            <v>BOLZANO</v>
          </cell>
        </row>
        <row r="57">
          <cell r="B57" t="str">
            <v>BOSTON</v>
          </cell>
        </row>
        <row r="58">
          <cell r="B58" t="str">
            <v>BRADFORD</v>
          </cell>
        </row>
        <row r="59">
          <cell r="B59" t="str">
            <v>BRESCIA</v>
          </cell>
        </row>
        <row r="60">
          <cell r="B60" t="str">
            <v>BRIGHTON</v>
          </cell>
        </row>
        <row r="61">
          <cell r="B61" t="str">
            <v>BRISTOL</v>
          </cell>
        </row>
        <row r="62">
          <cell r="B62" t="str">
            <v>BRUGES</v>
          </cell>
        </row>
        <row r="63">
          <cell r="B63" t="str">
            <v>BUCHAREST</v>
          </cell>
        </row>
        <row r="64">
          <cell r="B64" t="str">
            <v>BUDAPEST</v>
          </cell>
        </row>
        <row r="65">
          <cell r="B65" t="str">
            <v>BUENOS AIRES</v>
          </cell>
        </row>
        <row r="66">
          <cell r="B66" t="str">
            <v>BURANO</v>
          </cell>
        </row>
        <row r="67">
          <cell r="B67" t="str">
            <v>CALIFORNIA</v>
          </cell>
        </row>
        <row r="68">
          <cell r="B68" t="str">
            <v>CAMBRIDGE</v>
          </cell>
        </row>
        <row r="69">
          <cell r="B69" t="str">
            <v>CANADA</v>
          </cell>
        </row>
        <row r="70">
          <cell r="B70" t="str">
            <v>CANBERRA</v>
          </cell>
        </row>
        <row r="71">
          <cell r="B71" t="str">
            <v>CANNES</v>
          </cell>
        </row>
        <row r="72">
          <cell r="B72" t="str">
            <v>CAPE TOWN</v>
          </cell>
        </row>
        <row r="73">
          <cell r="B73" t="str">
            <v>CAPPA</v>
          </cell>
        </row>
        <row r="74">
          <cell r="B74" t="str">
            <v>CAPPA-P</v>
          </cell>
        </row>
        <row r="75">
          <cell r="B75" t="str">
            <v>CAPRI-3XB</v>
          </cell>
        </row>
        <row r="76">
          <cell r="B76" t="str">
            <v>CARACAS</v>
          </cell>
        </row>
        <row r="77">
          <cell r="B77" t="str">
            <v>CARDIFF</v>
          </cell>
        </row>
        <row r="78">
          <cell r="B78" t="str">
            <v>CAROLINA</v>
          </cell>
        </row>
        <row r="79">
          <cell r="B79" t="str">
            <v>CARRARA</v>
          </cell>
        </row>
        <row r="80">
          <cell r="B80" t="str">
            <v>CATANIA</v>
          </cell>
        </row>
        <row r="81">
          <cell r="B81" t="str">
            <v>CERVINIA</v>
          </cell>
        </row>
        <row r="82">
          <cell r="B82" t="str">
            <v>CHARLESTON</v>
          </cell>
        </row>
        <row r="83">
          <cell r="B83" t="str">
            <v>CHICAGO</v>
          </cell>
        </row>
        <row r="84">
          <cell r="B84" t="str">
            <v>COLORADO</v>
          </cell>
        </row>
        <row r="85">
          <cell r="B85" t="str">
            <v>COMO</v>
          </cell>
        </row>
        <row r="86">
          <cell r="B86" t="str">
            <v>CONNECTICUT</v>
          </cell>
        </row>
        <row r="87">
          <cell r="B87" t="str">
            <v>COPENHAGEN</v>
          </cell>
        </row>
        <row r="88">
          <cell r="B88" t="str">
            <v>CORDOBA</v>
          </cell>
        </row>
        <row r="89">
          <cell r="B89" t="str">
            <v>COSTA RICA</v>
          </cell>
        </row>
        <row r="90">
          <cell r="B90" t="str">
            <v>COVENTRY</v>
          </cell>
        </row>
        <row r="91">
          <cell r="B91" t="str">
            <v>CUBA</v>
          </cell>
        </row>
        <row r="92">
          <cell r="B92" t="str">
            <v>DAKAR</v>
          </cell>
        </row>
        <row r="93">
          <cell r="B93" t="str">
            <v>DAKOTA</v>
          </cell>
        </row>
        <row r="94">
          <cell r="B94" t="str">
            <v>DALLAS</v>
          </cell>
        </row>
        <row r="95">
          <cell r="B95" t="str">
            <v>DELAWARE</v>
          </cell>
        </row>
        <row r="96">
          <cell r="B96" t="str">
            <v>DENVER</v>
          </cell>
        </row>
        <row r="97">
          <cell r="B97" t="str">
            <v>DERBY</v>
          </cell>
        </row>
        <row r="98">
          <cell r="B98" t="str">
            <v>DEVON</v>
          </cell>
        </row>
        <row r="99">
          <cell r="B99" t="str">
            <v>DOHA</v>
          </cell>
        </row>
        <row r="100">
          <cell r="B100" t="str">
            <v>DUBAI</v>
          </cell>
        </row>
        <row r="101">
          <cell r="B101" t="str">
            <v>DUBLIN</v>
          </cell>
        </row>
        <row r="102">
          <cell r="B102" t="str">
            <v>DUBLIN-P</v>
          </cell>
        </row>
        <row r="103">
          <cell r="B103" t="str">
            <v>EDINBURGH</v>
          </cell>
        </row>
        <row r="104">
          <cell r="B104" t="str">
            <v>ELBA</v>
          </cell>
        </row>
        <row r="105">
          <cell r="B105" t="str">
            <v>ELEGANTE</v>
          </cell>
        </row>
        <row r="106">
          <cell r="B106" t="str">
            <v>ENZA</v>
          </cell>
        </row>
        <row r="107">
          <cell r="B107" t="str">
            <v>ENZA-TBF</v>
          </cell>
        </row>
        <row r="108">
          <cell r="B108" t="str">
            <v>ENZA-JR</v>
          </cell>
        </row>
        <row r="109">
          <cell r="B109" t="str">
            <v>ENZO</v>
          </cell>
        </row>
        <row r="110">
          <cell r="B110" t="str">
            <v>ENZO-TBF</v>
          </cell>
        </row>
        <row r="111">
          <cell r="B111" t="str">
            <v>ENZO-JR</v>
          </cell>
        </row>
        <row r="112">
          <cell r="B112" t="str">
            <v>FERNANDO</v>
          </cell>
        </row>
        <row r="113">
          <cell r="B113" t="str">
            <v>FIJI</v>
          </cell>
        </row>
        <row r="114">
          <cell r="B114" t="str">
            <v>FIRENZE</v>
          </cell>
        </row>
        <row r="115">
          <cell r="B115" t="str">
            <v>FLEECE-X</v>
          </cell>
        </row>
        <row r="116">
          <cell r="B116" t="str">
            <v>FLEECE-XP</v>
          </cell>
        </row>
        <row r="117">
          <cell r="B117" t="str">
            <v>FLORENCE</v>
          </cell>
        </row>
        <row r="118">
          <cell r="B118" t="str">
            <v>FLORIDA</v>
          </cell>
        </row>
        <row r="119">
          <cell r="B119" t="str">
            <v>FONDI-3XB</v>
          </cell>
        </row>
        <row r="120">
          <cell r="B120" t="str">
            <v>GENEVE</v>
          </cell>
        </row>
        <row r="121">
          <cell r="B121" t="str">
            <v>GENOVA</v>
          </cell>
        </row>
        <row r="122">
          <cell r="B122" t="str">
            <v>GEORGIA</v>
          </cell>
        </row>
        <row r="123">
          <cell r="B123" t="str">
            <v>GLASGOW</v>
          </cell>
        </row>
        <row r="124">
          <cell r="B124" t="str">
            <v>GORLA MINORE</v>
          </cell>
        </row>
        <row r="125">
          <cell r="B125" t="str">
            <v>GORLA MINORE-TBF</v>
          </cell>
        </row>
        <row r="126">
          <cell r="B126" t="str">
            <v>GRANADA</v>
          </cell>
        </row>
        <row r="127">
          <cell r="B127" t="str">
            <v>HAITI</v>
          </cell>
        </row>
        <row r="128">
          <cell r="B128" t="str">
            <v>HALIFAX</v>
          </cell>
        </row>
        <row r="129">
          <cell r="B129" t="str">
            <v>HAMBURG</v>
          </cell>
        </row>
        <row r="130">
          <cell r="B130" t="str">
            <v>HAVANA</v>
          </cell>
        </row>
        <row r="131">
          <cell r="B131" t="str">
            <v>HAWAII</v>
          </cell>
        </row>
        <row r="132">
          <cell r="B132" t="str">
            <v>HELSINKI</v>
          </cell>
        </row>
        <row r="133">
          <cell r="B133" t="str">
            <v>HONG KONG</v>
          </cell>
        </row>
        <row r="134">
          <cell r="B134" t="str">
            <v>IBIZA</v>
          </cell>
        </row>
        <row r="135">
          <cell r="B135" t="str">
            <v>IDAHO</v>
          </cell>
        </row>
        <row r="136">
          <cell r="B136" t="str">
            <v>ILLINOIS</v>
          </cell>
        </row>
        <row r="137">
          <cell r="B137" t="str">
            <v>INDIANA</v>
          </cell>
        </row>
        <row r="138">
          <cell r="B138" t="str">
            <v>IOWA</v>
          </cell>
        </row>
        <row r="139">
          <cell r="B139" t="str">
            <v>ISCHIA</v>
          </cell>
        </row>
        <row r="140">
          <cell r="B140" t="str">
            <v>ISTANBUL</v>
          </cell>
        </row>
        <row r="141">
          <cell r="B141" t="str">
            <v>JAMAICA</v>
          </cell>
        </row>
        <row r="142">
          <cell r="B142" t="str">
            <v>KANSAS</v>
          </cell>
        </row>
        <row r="143">
          <cell r="B143" t="str">
            <v>KENTUCKY</v>
          </cell>
        </row>
        <row r="144">
          <cell r="B144" t="str">
            <v>LA CORUNA</v>
          </cell>
        </row>
        <row r="145">
          <cell r="B145" t="str">
            <v>LAMPEDUSA</v>
          </cell>
        </row>
        <row r="146">
          <cell r="B146" t="str">
            <v>LAS PALMAS</v>
          </cell>
        </row>
        <row r="147">
          <cell r="B147" t="str">
            <v>LAZIO</v>
          </cell>
        </row>
        <row r="148">
          <cell r="B148" t="str">
            <v>LAZIO-3XB</v>
          </cell>
        </row>
        <row r="149">
          <cell r="B149" t="str">
            <v>LEEDS</v>
          </cell>
        </row>
        <row r="150">
          <cell r="B150" t="str">
            <v>LEICESTER</v>
          </cell>
        </row>
        <row r="151">
          <cell r="B151" t="str">
            <v>LEONARDO</v>
          </cell>
        </row>
        <row r="152">
          <cell r="B152" t="str">
            <v>LEONARDO-W</v>
          </cell>
        </row>
        <row r="153">
          <cell r="B153" t="str">
            <v>LILLE</v>
          </cell>
        </row>
        <row r="154">
          <cell r="B154" t="str">
            <v>LIPARI</v>
          </cell>
        </row>
        <row r="155">
          <cell r="B155" t="str">
            <v>LISBON</v>
          </cell>
        </row>
        <row r="156">
          <cell r="B156" t="str">
            <v>LIVERPOOL</v>
          </cell>
        </row>
        <row r="157">
          <cell r="B157" t="str">
            <v>LONDON</v>
          </cell>
        </row>
        <row r="158">
          <cell r="B158" t="str">
            <v>LONDON-H</v>
          </cell>
        </row>
        <row r="159">
          <cell r="B159" t="str">
            <v>LONDON-P</v>
          </cell>
        </row>
        <row r="160">
          <cell r="B160" t="str">
            <v>LOS ANGELES</v>
          </cell>
        </row>
        <row r="161">
          <cell r="B161" t="str">
            <v>LOUISIANA</v>
          </cell>
        </row>
        <row r="162">
          <cell r="B162" t="str">
            <v>LUCCA</v>
          </cell>
        </row>
        <row r="163">
          <cell r="B163" t="str">
            <v>LUCCA-3XB</v>
          </cell>
        </row>
        <row r="164">
          <cell r="B164" t="str">
            <v>LUCERNE</v>
          </cell>
        </row>
        <row r="165">
          <cell r="B165" t="str">
            <v>LUGANO</v>
          </cell>
        </row>
        <row r="166">
          <cell r="B166" t="str">
            <v>LUNA</v>
          </cell>
        </row>
        <row r="167">
          <cell r="B167" t="str">
            <v>LUXEMBOURG</v>
          </cell>
        </row>
        <row r="168">
          <cell r="B168" t="str">
            <v>LYON</v>
          </cell>
        </row>
        <row r="169">
          <cell r="B169" t="str">
            <v>MADRID</v>
          </cell>
        </row>
        <row r="170">
          <cell r="B170" t="str">
            <v>MAINE</v>
          </cell>
        </row>
        <row r="171">
          <cell r="B171" t="str">
            <v>MALAGA</v>
          </cell>
        </row>
        <row r="172">
          <cell r="B172" t="str">
            <v>MALDIVES</v>
          </cell>
        </row>
        <row r="173">
          <cell r="B173" t="str">
            <v>MALI</v>
          </cell>
        </row>
        <row r="174">
          <cell r="B174" t="str">
            <v>MALTA</v>
          </cell>
        </row>
        <row r="175">
          <cell r="B175" t="str">
            <v>MALTA-JR</v>
          </cell>
        </row>
        <row r="176">
          <cell r="B176" t="str">
            <v>MANCHESTER</v>
          </cell>
        </row>
        <row r="177">
          <cell r="B177" t="str">
            <v>MARBELLA</v>
          </cell>
        </row>
        <row r="178">
          <cell r="B178" t="str">
            <v>MARCELA</v>
          </cell>
        </row>
        <row r="179">
          <cell r="B179" t="str">
            <v>MARYLAND</v>
          </cell>
        </row>
        <row r="180">
          <cell r="B180" t="str">
            <v>MELBOURNE</v>
          </cell>
        </row>
        <row r="181">
          <cell r="B181" t="str">
            <v>MILANO</v>
          </cell>
        </row>
        <row r="182">
          <cell r="B182" t="str">
            <v>MESSINA</v>
          </cell>
        </row>
        <row r="183">
          <cell r="B183" t="str">
            <v>MEXICO C.</v>
          </cell>
        </row>
        <row r="184">
          <cell r="B184" t="str">
            <v>MIAMI</v>
          </cell>
        </row>
        <row r="185">
          <cell r="B185" t="str">
            <v>MIAMI-JR</v>
          </cell>
        </row>
        <row r="186">
          <cell r="B186" t="str">
            <v>MICHIGAN</v>
          </cell>
        </row>
        <row r="187">
          <cell r="B187" t="str">
            <v>MENDERISO</v>
          </cell>
        </row>
        <row r="188">
          <cell r="B188" t="str">
            <v>MINNESOTA</v>
          </cell>
        </row>
        <row r="189">
          <cell r="B189" t="str">
            <v>MISSISSIPPI</v>
          </cell>
        </row>
        <row r="190">
          <cell r="B190" t="str">
            <v>MISSOURI</v>
          </cell>
        </row>
        <row r="191">
          <cell r="B191" t="str">
            <v>MODENA</v>
          </cell>
        </row>
        <row r="192">
          <cell r="B192" t="str">
            <v>MONACO</v>
          </cell>
        </row>
        <row r="193">
          <cell r="B193" t="str">
            <v>MONT BLANC</v>
          </cell>
        </row>
        <row r="194">
          <cell r="B194" t="str">
            <v>MONTANA</v>
          </cell>
        </row>
        <row r="195">
          <cell r="B195" t="str">
            <v>MONTE CARLO</v>
          </cell>
        </row>
        <row r="196">
          <cell r="B196" t="str">
            <v>MONTE NEGRO</v>
          </cell>
        </row>
        <row r="197">
          <cell r="B197" t="str">
            <v>MONTERREY</v>
          </cell>
        </row>
        <row r="198">
          <cell r="B198" t="str">
            <v>MONTERREY-P</v>
          </cell>
        </row>
        <row r="199">
          <cell r="B199" t="str">
            <v>MONTEVIDEO</v>
          </cell>
        </row>
        <row r="200">
          <cell r="B200" t="str">
            <v>MONZA</v>
          </cell>
        </row>
        <row r="201">
          <cell r="B201" t="str">
            <v>MOSCOW</v>
          </cell>
        </row>
        <row r="202">
          <cell r="B202" t="str">
            <v>NANDO</v>
          </cell>
        </row>
        <row r="203">
          <cell r="B203" t="str">
            <v>NANTES</v>
          </cell>
        </row>
        <row r="204">
          <cell r="B204" t="str">
            <v>NAPOLI</v>
          </cell>
        </row>
        <row r="205">
          <cell r="B205" t="str">
            <v>NEBRASKA</v>
          </cell>
        </row>
        <row r="206">
          <cell r="B206" t="str">
            <v>NEPAL</v>
          </cell>
        </row>
        <row r="207">
          <cell r="B207" t="str">
            <v>NEVADA</v>
          </cell>
        </row>
        <row r="208">
          <cell r="B208" t="str">
            <v>NEW HAMPSHIRE</v>
          </cell>
        </row>
        <row r="209">
          <cell r="B209" t="str">
            <v>NEW JERSEY</v>
          </cell>
        </row>
        <row r="210">
          <cell r="B210" t="str">
            <v>NEW MEXICO</v>
          </cell>
        </row>
        <row r="211">
          <cell r="B211" t="str">
            <v>NEW ORLEANS</v>
          </cell>
        </row>
        <row r="212">
          <cell r="B212" t="str">
            <v>NEW YORK</v>
          </cell>
        </row>
        <row r="213">
          <cell r="B213" t="str">
            <v>NEWARK</v>
          </cell>
        </row>
        <row r="214">
          <cell r="B214" t="str">
            <v>NEWCASTLE</v>
          </cell>
        </row>
        <row r="215">
          <cell r="B215" t="str">
            <v>NORWICH</v>
          </cell>
        </row>
        <row r="216">
          <cell r="B216" t="str">
            <v>NOTTINGHAM</v>
          </cell>
        </row>
        <row r="217">
          <cell r="B217" t="str">
            <v>NOVARA</v>
          </cell>
        </row>
        <row r="218">
          <cell r="B218" t="str">
            <v>OAKMONT</v>
          </cell>
        </row>
        <row r="219">
          <cell r="B219" t="str">
            <v>ODESA</v>
          </cell>
        </row>
        <row r="220">
          <cell r="B220" t="str">
            <v>OHIO</v>
          </cell>
        </row>
        <row r="221">
          <cell r="B221" t="str">
            <v>OKLAHOMA</v>
          </cell>
        </row>
        <row r="222">
          <cell r="B222" t="str">
            <v>OLBIA</v>
          </cell>
        </row>
        <row r="223">
          <cell r="B223" t="str">
            <v>OREGON</v>
          </cell>
        </row>
        <row r="224">
          <cell r="B224" t="str">
            <v>ORLANDO</v>
          </cell>
        </row>
        <row r="225">
          <cell r="B225" t="str">
            <v>OSLO</v>
          </cell>
        </row>
        <row r="226">
          <cell r="B226" t="str">
            <v>OTTAWA</v>
          </cell>
        </row>
        <row r="227">
          <cell r="B227" t="str">
            <v>OVIEDO</v>
          </cell>
        </row>
        <row r="228">
          <cell r="B228" t="str">
            <v>OXFORD</v>
          </cell>
        </row>
        <row r="229">
          <cell r="B229" t="str">
            <v>PADOVA-JR</v>
          </cell>
        </row>
        <row r="230">
          <cell r="B230" t="str">
            <v>PADOVA</v>
          </cell>
        </row>
        <row r="231">
          <cell r="B231" t="str">
            <v>PALERMO</v>
          </cell>
        </row>
        <row r="232">
          <cell r="B232" t="str">
            <v>PALM SPRINGS</v>
          </cell>
        </row>
        <row r="233">
          <cell r="B233" t="str">
            <v>PALMA</v>
          </cell>
        </row>
        <row r="234">
          <cell r="B234" t="str">
            <v>PALMARIA</v>
          </cell>
        </row>
        <row r="235">
          <cell r="B235" t="str">
            <v>PALMAROLA</v>
          </cell>
        </row>
        <row r="236">
          <cell r="B236" t="str">
            <v>PANAMA</v>
          </cell>
        </row>
        <row r="237">
          <cell r="B237" t="str">
            <v>PANAREA</v>
          </cell>
        </row>
        <row r="238">
          <cell r="B238" t="str">
            <v>PANDORA</v>
          </cell>
        </row>
        <row r="239">
          <cell r="B239" t="str">
            <v>PANDORA-P</v>
          </cell>
        </row>
        <row r="240">
          <cell r="B240" t="str">
            <v>PAOLA</v>
          </cell>
        </row>
        <row r="241">
          <cell r="B241" t="str">
            <v>PAOLA-JR</v>
          </cell>
        </row>
        <row r="242">
          <cell r="B242" t="str">
            <v>PAOLO</v>
          </cell>
        </row>
        <row r="243">
          <cell r="B243" t="str">
            <v>PAOLO-JR</v>
          </cell>
        </row>
        <row r="244">
          <cell r="B244" t="str">
            <v>PAOLA-TBF</v>
          </cell>
        </row>
        <row r="245">
          <cell r="B245" t="str">
            <v>PAOLO-TBF</v>
          </cell>
        </row>
        <row r="246">
          <cell r="B246" t="str">
            <v>PARIS</v>
          </cell>
        </row>
        <row r="247">
          <cell r="B247" t="str">
            <v>PARIS-P</v>
          </cell>
        </row>
        <row r="248">
          <cell r="B248" t="str">
            <v>PARMA</v>
          </cell>
        </row>
        <row r="249">
          <cell r="B249" t="str">
            <v>PEBBLE BEACH</v>
          </cell>
        </row>
        <row r="250">
          <cell r="B250" t="str">
            <v>PESCARA</v>
          </cell>
        </row>
        <row r="251">
          <cell r="B251" t="str">
            <v>PETRA</v>
          </cell>
        </row>
        <row r="252">
          <cell r="B252" t="str">
            <v>PINE VALLEY</v>
          </cell>
        </row>
        <row r="253">
          <cell r="B253" t="str">
            <v>PISA</v>
          </cell>
        </row>
        <row r="254">
          <cell r="B254" t="str">
            <v>PONZA</v>
          </cell>
        </row>
        <row r="255">
          <cell r="B255" t="str">
            <v>PORTLAND</v>
          </cell>
        </row>
        <row r="256">
          <cell r="B256" t="str">
            <v>PORTO</v>
          </cell>
        </row>
        <row r="257">
          <cell r="B257" t="str">
            <v>PORTO CERVO</v>
          </cell>
        </row>
        <row r="258">
          <cell r="B258" t="str">
            <v>POSITANO</v>
          </cell>
        </row>
        <row r="259">
          <cell r="B259" t="str">
            <v>POTENZA</v>
          </cell>
        </row>
        <row r="260">
          <cell r="B260" t="str">
            <v>PRAGUE</v>
          </cell>
        </row>
        <row r="261">
          <cell r="B261" t="str">
            <v>PRAGUE-JR</v>
          </cell>
        </row>
        <row r="262">
          <cell r="B262" t="str">
            <v>PRATO</v>
          </cell>
        </row>
        <row r="263">
          <cell r="B263" t="str">
            <v>QUEBEC</v>
          </cell>
        </row>
        <row r="264">
          <cell r="B264" t="str">
            <v>RAIN-X</v>
          </cell>
        </row>
        <row r="265">
          <cell r="B265" t="str">
            <v>RAIN-XP</v>
          </cell>
        </row>
        <row r="266">
          <cell r="B266" t="str">
            <v>REISENBECK</v>
          </cell>
        </row>
        <row r="267">
          <cell r="B267" t="str">
            <v>RENNES</v>
          </cell>
        </row>
        <row r="268">
          <cell r="B268" t="str">
            <v>RIMINI</v>
          </cell>
        </row>
        <row r="269">
          <cell r="B269" t="str">
            <v>RIO</v>
          </cell>
        </row>
        <row r="270">
          <cell r="B270" t="str">
            <v>RIYADH</v>
          </cell>
        </row>
        <row r="271">
          <cell r="B271" t="str">
            <v>ROMA</v>
          </cell>
        </row>
        <row r="272">
          <cell r="B272" t="str">
            <v>ROMA-3XB</v>
          </cell>
        </row>
        <row r="273">
          <cell r="B273" t="str">
            <v>ST.TROPEZ</v>
          </cell>
        </row>
        <row r="274">
          <cell r="B274" t="str">
            <v>SALERNO</v>
          </cell>
        </row>
        <row r="275">
          <cell r="B275" t="str">
            <v>SALINA</v>
          </cell>
        </row>
        <row r="276">
          <cell r="B276" t="str">
            <v>SALVADOR</v>
          </cell>
        </row>
        <row r="277">
          <cell r="B277" t="str">
            <v>SALZBURG</v>
          </cell>
        </row>
        <row r="278">
          <cell r="B278" t="str">
            <v>SAN DIEGO</v>
          </cell>
        </row>
        <row r="279">
          <cell r="B279" t="str">
            <v>SAN DIEGO-JR</v>
          </cell>
        </row>
        <row r="280">
          <cell r="B280" t="str">
            <v>SAN MARINO</v>
          </cell>
        </row>
        <row r="281">
          <cell r="B281" t="str">
            <v>SAN NICOLA</v>
          </cell>
        </row>
        <row r="282">
          <cell r="B282" t="str">
            <v>SAN PIETRO</v>
          </cell>
        </row>
        <row r="283">
          <cell r="B283" t="str">
            <v>SAN REMO</v>
          </cell>
        </row>
        <row r="284">
          <cell r="B284" t="str">
            <v>SAND HILLS</v>
          </cell>
        </row>
        <row r="285">
          <cell r="B285" t="str">
            <v>SANTA DOMINGO</v>
          </cell>
        </row>
        <row r="286">
          <cell r="B286" t="str">
            <v>SANTIAGO</v>
          </cell>
        </row>
        <row r="287">
          <cell r="B287" t="str">
            <v>SANTINI</v>
          </cell>
        </row>
        <row r="288">
          <cell r="B288" t="str">
            <v>SANTORINI</v>
          </cell>
        </row>
        <row r="289">
          <cell r="B289" t="str">
            <v>SAO PAULO</v>
          </cell>
        </row>
        <row r="290">
          <cell r="B290" t="str">
            <v>SARDINIA</v>
          </cell>
        </row>
        <row r="291">
          <cell r="B291" t="str">
            <v>SASSARI</v>
          </cell>
        </row>
        <row r="292">
          <cell r="B292" t="str">
            <v>SAVONA-JR</v>
          </cell>
        </row>
        <row r="293">
          <cell r="B293" t="str">
            <v>SCOTLAND</v>
          </cell>
        </row>
        <row r="294">
          <cell r="B294" t="str">
            <v>SCOTTSDALE</v>
          </cell>
        </row>
        <row r="295">
          <cell r="B295" t="str">
            <v>SEATTLE</v>
          </cell>
        </row>
        <row r="296">
          <cell r="B296" t="str">
            <v>SEOUL</v>
          </cell>
        </row>
        <row r="297">
          <cell r="B297" t="str">
            <v>SEVILLE</v>
          </cell>
        </row>
        <row r="298">
          <cell r="B298" t="str">
            <v>SHANGHAI</v>
          </cell>
        </row>
        <row r="299">
          <cell r="B299" t="str">
            <v>SHEFFIELD</v>
          </cell>
        </row>
        <row r="300">
          <cell r="B300" t="str">
            <v>SICILY</v>
          </cell>
        </row>
        <row r="301">
          <cell r="B301" t="str">
            <v>SIENA</v>
          </cell>
        </row>
        <row r="302">
          <cell r="B302" t="str">
            <v>SINGAPORE</v>
          </cell>
        </row>
        <row r="303">
          <cell r="B303" t="str">
            <v>SOFIA</v>
          </cell>
        </row>
        <row r="304">
          <cell r="B304" t="str">
            <v>SORRENTO</v>
          </cell>
        </row>
        <row r="305">
          <cell r="B305" t="str">
            <v>SOUTHAMPTON</v>
          </cell>
        </row>
        <row r="306">
          <cell r="B306" t="str">
            <v>ST. ANDREWS</v>
          </cell>
        </row>
        <row r="307">
          <cell r="B307" t="str">
            <v>ST. PETERSBURG</v>
          </cell>
        </row>
        <row r="308">
          <cell r="B308" t="str">
            <v>STAR</v>
          </cell>
        </row>
        <row r="309">
          <cell r="B309" t="str">
            <v>STELLA</v>
          </cell>
        </row>
        <row r="310">
          <cell r="B310" t="str">
            <v>STOCKHOLM</v>
          </cell>
        </row>
        <row r="311">
          <cell r="B311" t="str">
            <v>STRASBOURG</v>
          </cell>
        </row>
        <row r="312">
          <cell r="B312" t="str">
            <v>SYDNEY</v>
          </cell>
        </row>
        <row r="313">
          <cell r="B313" t="str">
            <v>TAHITI</v>
          </cell>
        </row>
        <row r="314">
          <cell r="B314" t="str">
            <v>TAMPA</v>
          </cell>
        </row>
        <row r="315">
          <cell r="B315" t="str">
            <v>TENNESSEE</v>
          </cell>
        </row>
        <row r="316">
          <cell r="B316" t="str">
            <v>TEXAS</v>
          </cell>
        </row>
        <row r="317">
          <cell r="B317" t="str">
            <v>THE BAHAMAS</v>
          </cell>
        </row>
        <row r="318">
          <cell r="B318" t="str">
            <v>TIVOLI</v>
          </cell>
        </row>
        <row r="319">
          <cell r="B319" t="str">
            <v>TOKYO</v>
          </cell>
        </row>
        <row r="320">
          <cell r="B320" t="str">
            <v>TOLEDO</v>
          </cell>
        </row>
        <row r="321">
          <cell r="B321" t="str">
            <v>TOLENTINO</v>
          </cell>
        </row>
        <row r="322">
          <cell r="B322" t="str">
            <v>TORINO</v>
          </cell>
        </row>
        <row r="323">
          <cell r="B323" t="str">
            <v>TORINO-2XB</v>
          </cell>
        </row>
        <row r="324">
          <cell r="B324" t="str">
            <v>TORONTO</v>
          </cell>
        </row>
        <row r="325">
          <cell r="B325" t="str">
            <v>TORONTO-P</v>
          </cell>
        </row>
        <row r="326">
          <cell r="B326" t="str">
            <v>TREVISO</v>
          </cell>
        </row>
        <row r="327">
          <cell r="B327" t="str">
            <v>UDINE</v>
          </cell>
        </row>
        <row r="328">
          <cell r="B328" t="str">
            <v>UTAH</v>
          </cell>
        </row>
        <row r="329">
          <cell r="B329" t="str">
            <v>VALENCIA</v>
          </cell>
        </row>
        <row r="330">
          <cell r="B330" t="str">
            <v>VALKENSWAARD</v>
          </cell>
        </row>
        <row r="331">
          <cell r="B331" t="str">
            <v>VANCOUVER</v>
          </cell>
        </row>
        <row r="332">
          <cell r="B332" t="str">
            <v>VARESE</v>
          </cell>
        </row>
        <row r="333">
          <cell r="B333" t="str">
            <v>VENETA</v>
          </cell>
        </row>
        <row r="334">
          <cell r="B334" t="str">
            <v>VENEZIA</v>
          </cell>
        </row>
        <row r="335">
          <cell r="B335" t="str">
            <v>VENICE</v>
          </cell>
        </row>
        <row r="336">
          <cell r="B336" t="str">
            <v>VERMONT</v>
          </cell>
        </row>
        <row r="337">
          <cell r="B337" t="str">
            <v>VERONA</v>
          </cell>
        </row>
        <row r="338">
          <cell r="B338" t="str">
            <v>VICENZA</v>
          </cell>
        </row>
        <row r="339">
          <cell r="B339" t="str">
            <v>VICTORIA</v>
          </cell>
        </row>
        <row r="340">
          <cell r="B340" t="str">
            <v>VIRGINIA</v>
          </cell>
        </row>
        <row r="341">
          <cell r="B341" t="str">
            <v>VITTORIA</v>
          </cell>
        </row>
        <row r="342">
          <cell r="B342" t="str">
            <v>VOLARE</v>
          </cell>
        </row>
        <row r="343">
          <cell r="B343" t="str">
            <v>VOLARE-P</v>
          </cell>
        </row>
        <row r="344">
          <cell r="B344" t="str">
            <v>WASHINGTON</v>
          </cell>
        </row>
        <row r="345">
          <cell r="B345" t="str">
            <v>WIMBLEDON</v>
          </cell>
        </row>
        <row r="346">
          <cell r="B346" t="str">
            <v>WINDSOR</v>
          </cell>
        </row>
        <row r="347">
          <cell r="B347" t="str">
            <v>WINDSOR-P</v>
          </cell>
        </row>
        <row r="348">
          <cell r="B348" t="str">
            <v>WISCONSIN</v>
          </cell>
        </row>
        <row r="349">
          <cell r="B349" t="str">
            <v>WYOMING</v>
          </cell>
        </row>
        <row r="350">
          <cell r="B350" t="str">
            <v>YORK</v>
          </cell>
        </row>
        <row r="351">
          <cell r="B351" t="str">
            <v>YORK-P</v>
          </cell>
        </row>
        <row r="352">
          <cell r="B352" t="str">
            <v>ZANNONE</v>
          </cell>
        </row>
        <row r="353">
          <cell r="B353" t="str">
            <v>ZARAGOZA</v>
          </cell>
        </row>
        <row r="354">
          <cell r="B354" t="str">
            <v>ZERMATT</v>
          </cell>
        </row>
        <row r="355">
          <cell r="B355" t="str">
            <v>ZURICH</v>
          </cell>
        </row>
        <row r="373">
          <cell r="B373" t="str">
            <v>zzz</v>
          </cell>
        </row>
        <row r="374">
          <cell r="B374" t="str">
            <v>BELSIANA</v>
          </cell>
        </row>
      </sheetData>
      <sheetData sheetId="2">
        <row r="1">
          <cell r="D1" t="str">
            <v>PRODUCT CODE</v>
          </cell>
          <cell r="E1" t="str">
            <v>YEAR</v>
          </cell>
          <cell r="F1" t="str">
            <v>SEASON</v>
          </cell>
          <cell r="G1" t="str">
            <v>MAIN FABRIC</v>
          </cell>
          <cell r="H1" t="str">
            <v>FABRIC/MATERIAL CODE</v>
          </cell>
          <cell r="I1" t="str">
            <v>MAIN COLOR</v>
          </cell>
          <cell r="J1" t="str">
            <v>SECONDARY COLOR</v>
          </cell>
          <cell r="L1" t="str">
            <v>STYLE NAME</v>
          </cell>
          <cell r="M1" t="str">
            <v>STYLE CATEGORY CODE</v>
          </cell>
          <cell r="N1" t="str">
            <v>MODEL CODE</v>
          </cell>
          <cell r="O1" t="str">
            <v>FABRIC + COLOR CODE</v>
          </cell>
          <cell r="P1" t="str">
            <v>FULL PRODUCT CODE</v>
          </cell>
        </row>
        <row r="2">
          <cell r="D2" t="str">
            <v>TORONTO / FLC0001NAVGLD</v>
          </cell>
          <cell r="E2" t="str">
            <v>X1</v>
          </cell>
          <cell r="F2" t="str">
            <v>W</v>
          </cell>
          <cell r="G2" t="str">
            <v>FLEECE</v>
          </cell>
          <cell r="H2" t="str">
            <v>0001</v>
          </cell>
          <cell r="I2" t="str">
            <v>NAVY</v>
          </cell>
          <cell r="J2" t="str">
            <v>GOLD</v>
          </cell>
          <cell r="L2" t="str">
            <v>TORONTO</v>
          </cell>
          <cell r="M2" t="str">
            <v>H.RUGFL_FLC</v>
          </cell>
          <cell r="N2" t="str">
            <v>H.RUGFL_FLC0001</v>
          </cell>
          <cell r="O2" t="str">
            <v>FLC0001NAVGLD</v>
          </cell>
          <cell r="P2" t="str">
            <v>H.RUGFL_FLC0001_FLC0001NAVGLD</v>
          </cell>
        </row>
        <row r="3">
          <cell r="D3" t="str">
            <v>TORONTO / FLC0001PURGLD</v>
          </cell>
          <cell r="E3" t="str">
            <v>X1</v>
          </cell>
          <cell r="F3" t="str">
            <v>W</v>
          </cell>
          <cell r="G3" t="str">
            <v>FLEECE</v>
          </cell>
          <cell r="H3" t="str">
            <v>0001</v>
          </cell>
          <cell r="I3" t="str">
            <v>PURPLE</v>
          </cell>
          <cell r="J3" t="str">
            <v>GOLD</v>
          </cell>
          <cell r="L3" t="str">
            <v>TORONTO</v>
          </cell>
          <cell r="M3" t="str">
            <v>H.RUGFL_FLC</v>
          </cell>
          <cell r="N3" t="str">
            <v>H.RUGFL_FLC0001</v>
          </cell>
          <cell r="O3" t="str">
            <v>FLC0001PURGLD</v>
          </cell>
          <cell r="P3" t="str">
            <v>H.RUGFL_FLC0001_FLC0001PURGLD</v>
          </cell>
        </row>
        <row r="4">
          <cell r="D4" t="str">
            <v>TORONTO / FLC0001GRNNAV</v>
          </cell>
          <cell r="E4" t="str">
            <v>X1</v>
          </cell>
          <cell r="F4" t="str">
            <v>W</v>
          </cell>
          <cell r="G4" t="str">
            <v>FLEECE</v>
          </cell>
          <cell r="H4" t="str">
            <v>0001</v>
          </cell>
          <cell r="I4" t="str">
            <v>GREEN</v>
          </cell>
          <cell r="J4" t="str">
            <v>NAVY</v>
          </cell>
          <cell r="L4" t="str">
            <v>TORONTO</v>
          </cell>
          <cell r="M4" t="str">
            <v>H.RUGFL_FLC</v>
          </cell>
          <cell r="N4" t="str">
            <v>H.RUGFL_FLC0001</v>
          </cell>
          <cell r="O4" t="str">
            <v>FLC0001GRNNAV</v>
          </cell>
          <cell r="P4" t="str">
            <v>H.RUGFL_FLC0001_FLC0001GRNNAV</v>
          </cell>
        </row>
        <row r="5">
          <cell r="D5" t="str">
            <v>TORONTO / FLC0001BLKRGL</v>
          </cell>
          <cell r="E5" t="str">
            <v>X1</v>
          </cell>
          <cell r="F5" t="str">
            <v>W</v>
          </cell>
          <cell r="G5" t="str">
            <v>FLEECE</v>
          </cell>
          <cell r="H5" t="str">
            <v>0001</v>
          </cell>
          <cell r="I5" t="str">
            <v>BLACK</v>
          </cell>
          <cell r="J5" t="str">
            <v>ROSE GOLD</v>
          </cell>
          <cell r="L5" t="str">
            <v>TORONTO</v>
          </cell>
          <cell r="M5" t="str">
            <v>H.RUGFL_FLC</v>
          </cell>
          <cell r="N5" t="str">
            <v>H.RUGFL_FLC0001</v>
          </cell>
          <cell r="O5" t="str">
            <v>FLC0001BLKRGL</v>
          </cell>
          <cell r="P5" t="str">
            <v>H.RUGFL_FLC0001_FLC0001BLKRGL</v>
          </cell>
        </row>
        <row r="6">
          <cell r="D6" t="str">
            <v>TORONTO / FLC0001REDGLD</v>
          </cell>
          <cell r="E6" t="str">
            <v>X1</v>
          </cell>
          <cell r="F6" t="str">
            <v>W</v>
          </cell>
          <cell r="G6" t="str">
            <v>FLEECE</v>
          </cell>
          <cell r="H6" t="str">
            <v>0001</v>
          </cell>
          <cell r="I6" t="str">
            <v>RED</v>
          </cell>
          <cell r="J6" t="str">
            <v>GOLD</v>
          </cell>
          <cell r="L6" t="str">
            <v>TORONTO</v>
          </cell>
          <cell r="M6" t="str">
            <v>H.RUGFL_FLC</v>
          </cell>
          <cell r="N6" t="str">
            <v>H.RUGFL_FLC0001</v>
          </cell>
          <cell r="O6" t="str">
            <v>FLC0001REDGLD</v>
          </cell>
          <cell r="P6" t="str">
            <v>H.RUGFL_FLC0001_FLC0001REDGLD</v>
          </cell>
        </row>
        <row r="7">
          <cell r="D7" t="str">
            <v>TORONTO / FLC0001BORGLD</v>
          </cell>
          <cell r="E7" t="str">
            <v>X1</v>
          </cell>
          <cell r="F7" t="str">
            <v>W</v>
          </cell>
          <cell r="G7" t="str">
            <v>FLEECE</v>
          </cell>
          <cell r="H7" t="str">
            <v>0001</v>
          </cell>
          <cell r="I7" t="str">
            <v>BORDEAUX</v>
          </cell>
          <cell r="J7" t="str">
            <v>GOLD</v>
          </cell>
          <cell r="L7" t="str">
            <v>TORONTO</v>
          </cell>
          <cell r="M7" t="str">
            <v>H.RUGFL_FLC</v>
          </cell>
          <cell r="N7" t="str">
            <v>H.RUGFL_FLC0001</v>
          </cell>
          <cell r="O7" t="str">
            <v>FLC0001BORGLD</v>
          </cell>
          <cell r="P7" t="str">
            <v>H.RUGFL_FLC0001_FLC0001BORGLD</v>
          </cell>
        </row>
        <row r="8">
          <cell r="D8" t="str">
            <v>TORONTO / FLC0001LILWHT</v>
          </cell>
          <cell r="E8" t="str">
            <v>X1</v>
          </cell>
          <cell r="F8" t="str">
            <v>W</v>
          </cell>
          <cell r="G8" t="str">
            <v>FLEECE</v>
          </cell>
          <cell r="H8" t="str">
            <v>0001</v>
          </cell>
          <cell r="I8" t="str">
            <v>LILAC</v>
          </cell>
          <cell r="J8" t="str">
            <v>WHITE</v>
          </cell>
          <cell r="L8" t="str">
            <v>TORONTO</v>
          </cell>
          <cell r="M8" t="str">
            <v>H.RUGFL_FLC</v>
          </cell>
          <cell r="N8" t="str">
            <v>H.RUGFL_FLC0001</v>
          </cell>
          <cell r="O8" t="str">
            <v>FLC0001LILWHT</v>
          </cell>
          <cell r="P8" t="str">
            <v>H.RUGFL_FLC0001_FLC0001LILWHT</v>
          </cell>
        </row>
        <row r="9">
          <cell r="D9" t="str">
            <v>TORONTO / FLC0001BLKGLD</v>
          </cell>
          <cell r="E9" t="str">
            <v>X1</v>
          </cell>
          <cell r="F9" t="str">
            <v>W</v>
          </cell>
          <cell r="G9" t="str">
            <v>FLEECE</v>
          </cell>
          <cell r="H9" t="str">
            <v>0001</v>
          </cell>
          <cell r="I9" t="str">
            <v>BLACK</v>
          </cell>
          <cell r="J9" t="str">
            <v>GOLD</v>
          </cell>
          <cell r="L9" t="str">
            <v>TORONTO</v>
          </cell>
          <cell r="M9" t="str">
            <v>H.RUGFL_FLC</v>
          </cell>
          <cell r="N9" t="str">
            <v>H.RUGFL_FLC0001</v>
          </cell>
          <cell r="O9" t="str">
            <v>FLC0001BLKGLD</v>
          </cell>
          <cell r="P9" t="str">
            <v>H.RUGFL_FLC0001_FLC0001BLKGLD</v>
          </cell>
        </row>
        <row r="10">
          <cell r="D10" t="str">
            <v>TORONTO / FLC0001NAVRED</v>
          </cell>
          <cell r="E10" t="str">
            <v>X1</v>
          </cell>
          <cell r="F10" t="str">
            <v>W</v>
          </cell>
          <cell r="G10" t="str">
            <v>FLEECE</v>
          </cell>
          <cell r="H10" t="str">
            <v>0001</v>
          </cell>
          <cell r="I10" t="str">
            <v>NAVY</v>
          </cell>
          <cell r="J10" t="str">
            <v>RED</v>
          </cell>
          <cell r="L10" t="str">
            <v>TORONTO</v>
          </cell>
          <cell r="M10" t="str">
            <v>H.RUGFL_FLC</v>
          </cell>
          <cell r="N10" t="str">
            <v>H.RUGFL_FLC0001</v>
          </cell>
          <cell r="O10" t="str">
            <v>FLC0001NAVRED</v>
          </cell>
          <cell r="P10" t="str">
            <v>H.RUGFL_FLC0001_FLC0001NAVRED</v>
          </cell>
        </row>
        <row r="11">
          <cell r="D11" t="str">
            <v>TORONTO / FLC0001REDWHT</v>
          </cell>
          <cell r="E11" t="str">
            <v>X1</v>
          </cell>
          <cell r="F11" t="str">
            <v>W</v>
          </cell>
          <cell r="G11" t="str">
            <v>FLEECE</v>
          </cell>
          <cell r="H11" t="str">
            <v>0001</v>
          </cell>
          <cell r="I11" t="str">
            <v>RED</v>
          </cell>
          <cell r="J11" t="str">
            <v>WHITE</v>
          </cell>
          <cell r="L11" t="str">
            <v>TORONTO</v>
          </cell>
          <cell r="M11" t="str">
            <v>H.RUGFL_FLC</v>
          </cell>
          <cell r="N11" t="str">
            <v>H.RUGFL_FLC0001</v>
          </cell>
          <cell r="O11" t="str">
            <v>FLC0001REDWHT</v>
          </cell>
          <cell r="P11" t="str">
            <v>H.RUGFL_FLC0001_FLC0001REDWHT</v>
          </cell>
        </row>
        <row r="12">
          <cell r="D12" t="str">
            <v>WINDSOR / FLC0001BRWRGL</v>
          </cell>
          <cell r="E12" t="str">
            <v>X2</v>
          </cell>
          <cell r="F12" t="str">
            <v>W</v>
          </cell>
          <cell r="G12" t="str">
            <v>FLEECE</v>
          </cell>
          <cell r="H12" t="str">
            <v>0001</v>
          </cell>
          <cell r="I12" t="str">
            <v>BROWN</v>
          </cell>
          <cell r="J12" t="str">
            <v>ROSE GOLD</v>
          </cell>
          <cell r="L12" t="str">
            <v>WINDSOR</v>
          </cell>
          <cell r="M12" t="str">
            <v>H.RUGFL_FLC</v>
          </cell>
          <cell r="N12" t="str">
            <v>H.RUGFL_FLC0002</v>
          </cell>
          <cell r="O12" t="str">
            <v>FLC0001BRWRGL</v>
          </cell>
          <cell r="P12" t="str">
            <v>H.RUGFL_FLC0002_FLC0001BRWRGL</v>
          </cell>
        </row>
        <row r="13">
          <cell r="D13" t="str">
            <v>WINDSOR / FLC0001ELBORG</v>
          </cell>
          <cell r="E13" t="str">
            <v>X2</v>
          </cell>
          <cell r="F13" t="str">
            <v>W</v>
          </cell>
          <cell r="G13" t="str">
            <v>FLEECE</v>
          </cell>
          <cell r="H13" t="str">
            <v>0001</v>
          </cell>
          <cell r="I13" t="str">
            <v>ELECTRIC BLUE</v>
          </cell>
          <cell r="J13" t="str">
            <v>ORANGE</v>
          </cell>
          <cell r="L13" t="str">
            <v>WINDSOR</v>
          </cell>
          <cell r="M13" t="str">
            <v>H.RUGFL_FLC</v>
          </cell>
          <cell r="N13" t="str">
            <v>H.RUGFL_FLC0002</v>
          </cell>
          <cell r="O13" t="str">
            <v>FLC0001ELBORG</v>
          </cell>
          <cell r="P13" t="str">
            <v>H.RUGFL_FLC0002_FLC0001ELBORG</v>
          </cell>
        </row>
        <row r="14">
          <cell r="D14" t="str">
            <v>DUBLIN / KNT0002MTCNAV</v>
          </cell>
          <cell r="E14" t="str">
            <v>X3</v>
          </cell>
          <cell r="F14" t="str">
            <v>W</v>
          </cell>
          <cell r="G14" t="str">
            <v>KNIT</v>
          </cell>
          <cell r="H14" t="str">
            <v>0002</v>
          </cell>
          <cell r="I14" t="str">
            <v>MULTI-COLOR CHECK</v>
          </cell>
          <cell r="J14" t="str">
            <v>NAVY</v>
          </cell>
          <cell r="L14" t="str">
            <v>DUBLIN</v>
          </cell>
          <cell r="M14" t="str">
            <v>H.RUGFL_COO</v>
          </cell>
          <cell r="N14" t="str">
            <v>H.RUGFL_COO0003</v>
          </cell>
          <cell r="O14" t="str">
            <v>KNT0002MTCNAV</v>
          </cell>
          <cell r="P14" t="str">
            <v>H.RUGFL_COO0003_KNT0002MTCNAV</v>
          </cell>
        </row>
        <row r="15">
          <cell r="D15" t="str">
            <v>YORK / FLC0001GRNNAV</v>
          </cell>
          <cell r="E15" t="str">
            <v>X3</v>
          </cell>
          <cell r="F15" t="str">
            <v>W</v>
          </cell>
          <cell r="G15" t="str">
            <v>FLEECE</v>
          </cell>
          <cell r="H15" t="str">
            <v>0001</v>
          </cell>
          <cell r="I15" t="str">
            <v>GREEN</v>
          </cell>
          <cell r="J15" t="str">
            <v>NAVY</v>
          </cell>
          <cell r="L15" t="str">
            <v>YORK</v>
          </cell>
          <cell r="M15" t="str">
            <v>H.RUGFL_FLC</v>
          </cell>
          <cell r="N15" t="str">
            <v>H.RUGFL_FLC0004</v>
          </cell>
          <cell r="O15" t="str">
            <v>FLC0001GRNNAV</v>
          </cell>
          <cell r="P15" t="str">
            <v>H.RUGFL_FLC0004_FLC0001GRNNAV</v>
          </cell>
        </row>
        <row r="16">
          <cell r="D16" t="str">
            <v>YORK / FLC0001NAVBOR</v>
          </cell>
          <cell r="E16" t="str">
            <v>X3</v>
          </cell>
          <cell r="F16" t="str">
            <v>W</v>
          </cell>
          <cell r="G16" t="str">
            <v>FLEECE</v>
          </cell>
          <cell r="H16" t="str">
            <v>0001</v>
          </cell>
          <cell r="I16" t="str">
            <v>NAVY</v>
          </cell>
          <cell r="J16" t="str">
            <v>BORDEAUX</v>
          </cell>
          <cell r="L16" t="str">
            <v>YORK</v>
          </cell>
          <cell r="M16" t="str">
            <v>H.RUGFL_FLC</v>
          </cell>
          <cell r="N16" t="str">
            <v>H.RUGFL_FLC0004</v>
          </cell>
          <cell r="O16" t="str">
            <v>FLC0001NAVBOR</v>
          </cell>
          <cell r="P16" t="str">
            <v>H.RUGFL_FLC0004_FLC0001NAVBOR</v>
          </cell>
        </row>
        <row r="17">
          <cell r="D17" t="str">
            <v>ALASKA / RPS0003BLKBLK</v>
          </cell>
          <cell r="E17" t="str">
            <v>X4</v>
          </cell>
          <cell r="F17" t="str">
            <v>W</v>
          </cell>
          <cell r="G17" t="str">
            <v>RAINPROOF SHELL</v>
          </cell>
          <cell r="H17" t="str">
            <v>0003</v>
          </cell>
          <cell r="I17" t="str">
            <v>BLACK</v>
          </cell>
          <cell r="J17" t="str">
            <v>BLACK</v>
          </cell>
          <cell r="L17" t="str">
            <v>ALASKA</v>
          </cell>
          <cell r="M17" t="str">
            <v>H.RUGFL_STR</v>
          </cell>
          <cell r="N17" t="str">
            <v>H.RUGFL_STR0005</v>
          </cell>
          <cell r="O17" t="str">
            <v>RPS0003BLKBLK</v>
          </cell>
          <cell r="P17" t="str">
            <v>H.RUGFL_STR0005_RPS0003BLKBLK</v>
          </cell>
        </row>
        <row r="18">
          <cell r="D18" t="str">
            <v>ALASKA / RPS0003NAVNAV</v>
          </cell>
          <cell r="E18" t="str">
            <v>X4</v>
          </cell>
          <cell r="F18" t="str">
            <v>W</v>
          </cell>
          <cell r="G18" t="str">
            <v>RAINPROOF SHELL</v>
          </cell>
          <cell r="H18" t="str">
            <v>0003</v>
          </cell>
          <cell r="I18" t="str">
            <v>NAVY</v>
          </cell>
          <cell r="J18" t="str">
            <v>NAVY</v>
          </cell>
          <cell r="L18" t="str">
            <v>ALASKA</v>
          </cell>
          <cell r="M18" t="str">
            <v>H.RUGFL_STR</v>
          </cell>
          <cell r="N18" t="str">
            <v>H.RUGFL_STR0005</v>
          </cell>
          <cell r="O18" t="str">
            <v>RPS0003NAVNAV</v>
          </cell>
          <cell r="P18" t="str">
            <v>H.RUGFL_STR0005_RPS0003NAVNAV</v>
          </cell>
        </row>
        <row r="19">
          <cell r="D19" t="str">
            <v>ALASKA / RPS0003BORBOR</v>
          </cell>
          <cell r="E19" t="str">
            <v>X4</v>
          </cell>
          <cell r="F19" t="str">
            <v>W</v>
          </cell>
          <cell r="G19" t="str">
            <v>RAINPROOF SHELL</v>
          </cell>
          <cell r="H19" t="str">
            <v>0003</v>
          </cell>
          <cell r="I19" t="str">
            <v>BORDEAUX</v>
          </cell>
          <cell r="J19" t="str">
            <v>BORDEAUX</v>
          </cell>
          <cell r="L19" t="str">
            <v>ALASKA</v>
          </cell>
          <cell r="M19" t="str">
            <v>H.RUGFL_STR</v>
          </cell>
          <cell r="N19" t="str">
            <v>H.RUGFL_STR0005</v>
          </cell>
          <cell r="O19" t="str">
            <v>RPS0003BORBOR</v>
          </cell>
          <cell r="P19" t="str">
            <v>H.RUGFL_STR0005_RPS0003BORBOR</v>
          </cell>
        </row>
        <row r="20">
          <cell r="D20" t="str">
            <v>ALASKA / RPS0003ELBELB</v>
          </cell>
          <cell r="E20" t="str">
            <v>X4</v>
          </cell>
          <cell r="F20" t="str">
            <v>W</v>
          </cell>
          <cell r="G20" t="str">
            <v>RAINPROOF SHELL</v>
          </cell>
          <cell r="H20" t="str">
            <v>0003</v>
          </cell>
          <cell r="I20" t="str">
            <v>ELECTRIC BLUE</v>
          </cell>
          <cell r="J20" t="str">
            <v>ELECTRIC BLUE</v>
          </cell>
          <cell r="L20" t="str">
            <v>ALASKA</v>
          </cell>
          <cell r="M20" t="str">
            <v>H.RUGFL_STR</v>
          </cell>
          <cell r="N20" t="str">
            <v>H.RUGFL_STR0005</v>
          </cell>
          <cell r="O20" t="str">
            <v>RPS0003ELBELB</v>
          </cell>
          <cell r="P20" t="str">
            <v>H.RUGFL_STR0005_RPS0003ELBELB</v>
          </cell>
        </row>
        <row r="21">
          <cell r="D21" t="str">
            <v>ALASKA / RPS0003GRNGRN</v>
          </cell>
          <cell r="E21" t="str">
            <v>X4</v>
          </cell>
          <cell r="F21" t="str">
            <v>W</v>
          </cell>
          <cell r="G21" t="str">
            <v>RAINPROOF SHELL</v>
          </cell>
          <cell r="H21" t="str">
            <v>0003</v>
          </cell>
          <cell r="I21" t="str">
            <v>GREEN</v>
          </cell>
          <cell r="J21" t="str">
            <v>GREEN</v>
          </cell>
          <cell r="L21" t="str">
            <v>ALASKA</v>
          </cell>
          <cell r="M21" t="str">
            <v>H.RUGFL_STR</v>
          </cell>
          <cell r="N21" t="str">
            <v>H.RUGFL_STR0005</v>
          </cell>
          <cell r="O21" t="str">
            <v>RPS0003GRNGRN</v>
          </cell>
          <cell r="P21" t="str">
            <v>H.RUGFL_STR0005_RPS0003GRNGRN</v>
          </cell>
        </row>
        <row r="22">
          <cell r="D22" t="str">
            <v>VOLARE / MSH0004LGYBOR</v>
          </cell>
          <cell r="E22" t="str">
            <v>X4</v>
          </cell>
          <cell r="F22" t="str">
            <v>S</v>
          </cell>
          <cell r="G22" t="str">
            <v>MESH</v>
          </cell>
          <cell r="H22" t="str">
            <v>0004</v>
          </cell>
          <cell r="I22" t="str">
            <v>LIGHT GRAY</v>
          </cell>
          <cell r="J22" t="str">
            <v>BORDEAUX</v>
          </cell>
          <cell r="L22" t="str">
            <v>VOLARE</v>
          </cell>
          <cell r="M22" t="str">
            <v>H.FLYFL_FLS</v>
          </cell>
          <cell r="N22" t="str">
            <v>H.FLYFL_FLS0006</v>
          </cell>
          <cell r="O22" t="str">
            <v>MSH0004LGYBOR</v>
          </cell>
          <cell r="P22" t="str">
            <v>H.FLYFL_FLS0006_MSH0004LGYBOR</v>
          </cell>
        </row>
        <row r="23">
          <cell r="D23" t="str">
            <v>VOLARE / MSH0004BLKBLK</v>
          </cell>
          <cell r="E23" t="str">
            <v>X4</v>
          </cell>
          <cell r="F23" t="str">
            <v>S</v>
          </cell>
          <cell r="G23" t="str">
            <v>MESH</v>
          </cell>
          <cell r="H23" t="str">
            <v>0004</v>
          </cell>
          <cell r="I23" t="str">
            <v>BLACK</v>
          </cell>
          <cell r="J23" t="str">
            <v>BLACK</v>
          </cell>
          <cell r="L23" t="str">
            <v>VOLARE</v>
          </cell>
          <cell r="M23" t="str">
            <v>H.FLYFL_FLS</v>
          </cell>
          <cell r="N23" t="str">
            <v>H.FLYFL_FLS0006</v>
          </cell>
          <cell r="O23" t="str">
            <v>MSH0004BLKBLK</v>
          </cell>
          <cell r="P23" t="str">
            <v>H.FLYFL_FLS0006_MSH0004BLKBLK</v>
          </cell>
        </row>
        <row r="24">
          <cell r="D24" t="str">
            <v>FLEECE-X / FLC0001BLKGLD</v>
          </cell>
          <cell r="E24" t="str">
            <v>X4</v>
          </cell>
          <cell r="F24" t="str">
            <v>W</v>
          </cell>
          <cell r="G24" t="str">
            <v>FLEECE</v>
          </cell>
          <cell r="H24" t="str">
            <v>0001</v>
          </cell>
          <cell r="I24" t="str">
            <v>BLACK</v>
          </cell>
          <cell r="J24" t="str">
            <v>GOLD</v>
          </cell>
          <cell r="L24" t="str">
            <v>FLEECE-X</v>
          </cell>
          <cell r="M24" t="str">
            <v>H.RUGFL_EXS</v>
          </cell>
          <cell r="N24" t="str">
            <v>H.RUGFL_EXS0007</v>
          </cell>
          <cell r="O24" t="str">
            <v>FLC0001BLKGLD</v>
          </cell>
          <cell r="P24" t="str">
            <v>H.RUGFL_EXS0007_FLC0001BLKGLD</v>
          </cell>
        </row>
        <row r="25">
          <cell r="D25" t="str">
            <v>FLEECE-X / FLC0001BORGLD</v>
          </cell>
          <cell r="E25" t="str">
            <v>X4</v>
          </cell>
          <cell r="F25" t="str">
            <v>W</v>
          </cell>
          <cell r="G25" t="str">
            <v>FLEECE</v>
          </cell>
          <cell r="H25" t="str">
            <v>0001</v>
          </cell>
          <cell r="I25" t="str">
            <v>BORDEAUX</v>
          </cell>
          <cell r="J25" t="str">
            <v>GOLD</v>
          </cell>
          <cell r="L25" t="str">
            <v>FLEECE-X</v>
          </cell>
          <cell r="M25" t="str">
            <v>H.RUGFL_EXS</v>
          </cell>
          <cell r="N25" t="str">
            <v>H.RUGFL_EXS0007</v>
          </cell>
          <cell r="O25" t="str">
            <v>FLC0001BORGLD</v>
          </cell>
          <cell r="P25" t="str">
            <v>H.RUGFL_EXS0007_FLC0001BORGLD</v>
          </cell>
        </row>
        <row r="26">
          <cell r="D26" t="str">
            <v>FLEECE-X / FLC0001PURGLD</v>
          </cell>
          <cell r="E26" t="str">
            <v>X4</v>
          </cell>
          <cell r="F26" t="str">
            <v>W</v>
          </cell>
          <cell r="G26" t="str">
            <v>FLEECE</v>
          </cell>
          <cell r="H26" t="str">
            <v>0001</v>
          </cell>
          <cell r="I26" t="str">
            <v>PURPLE</v>
          </cell>
          <cell r="J26" t="str">
            <v>GOLD</v>
          </cell>
          <cell r="L26" t="str">
            <v>FLEECE-X</v>
          </cell>
          <cell r="M26" t="str">
            <v>H.RUGFL_EXS</v>
          </cell>
          <cell r="N26" t="str">
            <v>H.RUGFL_EXS0007</v>
          </cell>
          <cell r="O26" t="str">
            <v>FLC0001PURGLD</v>
          </cell>
          <cell r="P26" t="str">
            <v>H.RUGFL_EXS0007_FLC0001PURGLD</v>
          </cell>
        </row>
        <row r="27">
          <cell r="D27" t="str">
            <v>FLEECE-X / FLC0001BLKRGL</v>
          </cell>
          <cell r="E27" t="str">
            <v>X4</v>
          </cell>
          <cell r="F27" t="str">
            <v>W</v>
          </cell>
          <cell r="G27" t="str">
            <v>FLEECE</v>
          </cell>
          <cell r="H27" t="str">
            <v>0001</v>
          </cell>
          <cell r="I27" t="str">
            <v>BLACK</v>
          </cell>
          <cell r="J27" t="str">
            <v>ROSE GOLD</v>
          </cell>
          <cell r="L27" t="str">
            <v>FLEECE-X</v>
          </cell>
          <cell r="M27" t="str">
            <v>H.RUGFL_EXS</v>
          </cell>
          <cell r="N27" t="str">
            <v>H.RUGFL_EXS0007</v>
          </cell>
          <cell r="O27" t="str">
            <v>FLC0001BLKRGL</v>
          </cell>
          <cell r="P27" t="str">
            <v>H.RUGFL_EXS0007_FLC0001BLKRGL</v>
          </cell>
        </row>
        <row r="28">
          <cell r="D28" t="str">
            <v>FLEECE-X / FLC0001DGYBLK</v>
          </cell>
          <cell r="E28" t="str">
            <v>X4</v>
          </cell>
          <cell r="F28" t="str">
            <v>W</v>
          </cell>
          <cell r="G28" t="str">
            <v>FLEECE</v>
          </cell>
          <cell r="H28" t="str">
            <v>0001</v>
          </cell>
          <cell r="I28" t="str">
            <v>DARK GRAY</v>
          </cell>
          <cell r="J28" t="str">
            <v>BLACK</v>
          </cell>
          <cell r="L28" t="str">
            <v>FLEECE-X</v>
          </cell>
          <cell r="M28" t="str">
            <v>H.RUGFL_EXS</v>
          </cell>
          <cell r="N28" t="str">
            <v>H.RUGFL_EXS0007</v>
          </cell>
          <cell r="O28" t="str">
            <v>FLC0001DGYBLK</v>
          </cell>
          <cell r="P28" t="str">
            <v>H.RUGFL_EXS0007_FLC0001DGYBLK</v>
          </cell>
        </row>
        <row r="29">
          <cell r="D29" t="str">
            <v>RAIN-X / RPN0005BBLGLD</v>
          </cell>
          <cell r="E29" t="str">
            <v>X4</v>
          </cell>
          <cell r="F29" t="str">
            <v>W</v>
          </cell>
          <cell r="G29" t="str">
            <v>RAINPROOF NYLON</v>
          </cell>
          <cell r="H29" t="str">
            <v>0005</v>
          </cell>
          <cell r="I29" t="str">
            <v>BLUE-BLACK</v>
          </cell>
          <cell r="J29" t="str">
            <v>GOLD</v>
          </cell>
          <cell r="L29" t="str">
            <v>RAIN-X</v>
          </cell>
          <cell r="M29" t="str">
            <v>H.RUGFL_RXS</v>
          </cell>
          <cell r="N29" t="str">
            <v>H.RUGFL_RXS0008</v>
          </cell>
          <cell r="O29" t="str">
            <v>RPN0005BBLGLD</v>
          </cell>
          <cell r="P29" t="str">
            <v>H.RUGFL_RXS0008_RPN0005BBLGLD</v>
          </cell>
        </row>
        <row r="30">
          <cell r="D30" t="str">
            <v>RAIN-X / RPN0005BORBLK</v>
          </cell>
          <cell r="E30" t="str">
            <v>X4</v>
          </cell>
          <cell r="F30" t="str">
            <v>W</v>
          </cell>
          <cell r="G30" t="str">
            <v>RAINPROOF NYLON</v>
          </cell>
          <cell r="H30" t="str">
            <v>0005</v>
          </cell>
          <cell r="I30" t="str">
            <v>BORDEAUX</v>
          </cell>
          <cell r="J30" t="str">
            <v>BLACK</v>
          </cell>
          <cell r="L30" t="str">
            <v>RAIN-X</v>
          </cell>
          <cell r="M30" t="str">
            <v>H.RUGFL_RXS</v>
          </cell>
          <cell r="N30" t="str">
            <v>H.RUGFL_RXS0008</v>
          </cell>
          <cell r="O30" t="str">
            <v>RPN0005BORBLK</v>
          </cell>
          <cell r="P30" t="str">
            <v>H.RUGFL_RXS0008_RPN0005BORBLK</v>
          </cell>
        </row>
        <row r="31">
          <cell r="D31" t="str">
            <v>RAIN-X / RPN0005BEGBLK</v>
          </cell>
          <cell r="E31" t="str">
            <v>X4</v>
          </cell>
          <cell r="F31" t="str">
            <v>W</v>
          </cell>
          <cell r="G31" t="str">
            <v>RAINPROOF NYLON</v>
          </cell>
          <cell r="H31" t="str">
            <v>0005</v>
          </cell>
          <cell r="I31" t="str">
            <v>BEIGE</v>
          </cell>
          <cell r="J31" t="str">
            <v>BLACK</v>
          </cell>
          <cell r="L31" t="str">
            <v>RAIN-X</v>
          </cell>
          <cell r="M31" t="str">
            <v>H.RUGFL_RXS</v>
          </cell>
          <cell r="N31" t="str">
            <v>H.RUGFL_RXS0008</v>
          </cell>
          <cell r="O31" t="str">
            <v>RPN0005BEGBLK</v>
          </cell>
          <cell r="P31" t="str">
            <v>H.RUGFL_RXS0008_RPN0005BEGBLK</v>
          </cell>
        </row>
        <row r="32">
          <cell r="D32" t="str">
            <v>RAIN-X / RPN0005BLKGLD</v>
          </cell>
          <cell r="E32" t="str">
            <v>X4</v>
          </cell>
          <cell r="F32" t="str">
            <v>W</v>
          </cell>
          <cell r="G32" t="str">
            <v>RAINPROOF NYLON</v>
          </cell>
          <cell r="H32" t="str">
            <v>0005</v>
          </cell>
          <cell r="I32" t="str">
            <v>BLACK</v>
          </cell>
          <cell r="J32" t="str">
            <v>GOLD</v>
          </cell>
          <cell r="L32" t="str">
            <v>RAIN-X</v>
          </cell>
          <cell r="M32" t="str">
            <v>H.RUGFL_RXS</v>
          </cell>
          <cell r="N32" t="str">
            <v>H.RUGFL_RXS0008</v>
          </cell>
          <cell r="O32" t="str">
            <v>RPN0005BLKGLD</v>
          </cell>
          <cell r="P32" t="str">
            <v>H.RUGFL_RXS0008_RPN0005BLKGLD</v>
          </cell>
        </row>
        <row r="33">
          <cell r="D33" t="str">
            <v>LONDON-H / TWL0007BEGBRW</v>
          </cell>
          <cell r="E33" t="str">
            <v>X4</v>
          </cell>
          <cell r="F33" t="str">
            <v>A</v>
          </cell>
          <cell r="G33" t="str">
            <v>TWILL</v>
          </cell>
          <cell r="H33" t="str">
            <v>0007</v>
          </cell>
          <cell r="I33" t="str">
            <v>BEIGE</v>
          </cell>
          <cell r="J33" t="str">
            <v>BROWN</v>
          </cell>
          <cell r="L33" t="str">
            <v>LONDON-H</v>
          </cell>
          <cell r="M33" t="str">
            <v>H.PADFL_SPD</v>
          </cell>
          <cell r="N33" t="str">
            <v>H.PADFL_SPD0009</v>
          </cell>
          <cell r="O33" t="str">
            <v>TWL0007BEGBRW</v>
          </cell>
          <cell r="P33" t="str">
            <v>H.PADFL_SPD0009_TWL0007BEGBRW</v>
          </cell>
        </row>
        <row r="34">
          <cell r="D34" t="str">
            <v>LONDON-H / TWL0007WHTWHT</v>
          </cell>
          <cell r="E34" t="str">
            <v>X4</v>
          </cell>
          <cell r="F34" t="str">
            <v>A</v>
          </cell>
          <cell r="G34" t="str">
            <v>TWILL</v>
          </cell>
          <cell r="H34" t="str">
            <v>0007</v>
          </cell>
          <cell r="I34" t="str">
            <v>WHITE</v>
          </cell>
          <cell r="J34" t="str">
            <v>WHITE</v>
          </cell>
          <cell r="L34" t="str">
            <v>LONDON-H</v>
          </cell>
          <cell r="M34" t="str">
            <v>H.PADFL_SPD</v>
          </cell>
          <cell r="N34" t="str">
            <v>H.PADFL_SPD0009</v>
          </cell>
          <cell r="O34" t="str">
            <v>TWL0007WHTWHT</v>
          </cell>
          <cell r="P34" t="str">
            <v>H.PADFL_SPD0009_TWL0007WHTWHT</v>
          </cell>
        </row>
        <row r="35">
          <cell r="D35" t="str">
            <v>MANCHESTER / SUE0010NAVNAV</v>
          </cell>
          <cell r="E35" t="str">
            <v>X4</v>
          </cell>
          <cell r="F35" t="str">
            <v>A</v>
          </cell>
          <cell r="G35" t="str">
            <v>SUEDE</v>
          </cell>
          <cell r="H35" t="str">
            <v>0010</v>
          </cell>
          <cell r="I35" t="str">
            <v>NAVY</v>
          </cell>
          <cell r="J35" t="str">
            <v>NAVY</v>
          </cell>
          <cell r="L35" t="str">
            <v>MANCHESTER</v>
          </cell>
          <cell r="M35" t="str">
            <v>H.PADFL_SPR</v>
          </cell>
          <cell r="N35" t="str">
            <v>H.PADFL_SPR0010</v>
          </cell>
          <cell r="O35" t="str">
            <v>SUE0010NAVNAV</v>
          </cell>
          <cell r="P35" t="str">
            <v>H.PADFL_SPR0010_SUE0010NAVNAV</v>
          </cell>
        </row>
        <row r="36">
          <cell r="D36" t="str">
            <v>MANCHESTER / SUE0010RYLRYL</v>
          </cell>
          <cell r="E36" t="str">
            <v>X4</v>
          </cell>
          <cell r="F36" t="str">
            <v>A</v>
          </cell>
          <cell r="G36" t="str">
            <v>SUEDE</v>
          </cell>
          <cell r="H36" t="str">
            <v>0010</v>
          </cell>
          <cell r="I36" t="str">
            <v>ROYAL BLUE</v>
          </cell>
          <cell r="J36" t="str">
            <v>ROYAL BLUE</v>
          </cell>
          <cell r="L36" t="str">
            <v>MANCHESTER</v>
          </cell>
          <cell r="M36" t="str">
            <v>H.PADFL_SPR</v>
          </cell>
          <cell r="N36" t="str">
            <v>H.PADFL_SPR0010</v>
          </cell>
          <cell r="O36" t="str">
            <v>SUE0010RYLRYL</v>
          </cell>
          <cell r="P36" t="str">
            <v>H.PADFL_SPR0010_SUE0010RYLRYL</v>
          </cell>
        </row>
        <row r="37">
          <cell r="D37" t="str">
            <v>MANCHESTER / SUE0010CHOCHO</v>
          </cell>
          <cell r="E37" t="str">
            <v>X4</v>
          </cell>
          <cell r="F37" t="str">
            <v>A</v>
          </cell>
          <cell r="G37" t="str">
            <v>SUEDE</v>
          </cell>
          <cell r="H37" t="str">
            <v>0010</v>
          </cell>
          <cell r="I37" t="str">
            <v>CHOCOLATE</v>
          </cell>
          <cell r="J37" t="str">
            <v>CHOCOLATE</v>
          </cell>
          <cell r="L37" t="str">
            <v>MANCHESTER</v>
          </cell>
          <cell r="M37" t="str">
            <v>H.PADFL_SPR</v>
          </cell>
          <cell r="N37" t="str">
            <v>H.PADFL_SPR0010</v>
          </cell>
          <cell r="O37" t="str">
            <v>SUE0010CHOCHO</v>
          </cell>
          <cell r="P37" t="str">
            <v>H.PADFL_SPR0010_SUE0010CHOCHO</v>
          </cell>
        </row>
        <row r="38">
          <cell r="D38" t="str">
            <v>MANCHESTER / SUE0010LATLAT</v>
          </cell>
          <cell r="E38" t="str">
            <v>X4</v>
          </cell>
          <cell r="F38" t="str">
            <v>A</v>
          </cell>
          <cell r="G38" t="str">
            <v>SUEDE</v>
          </cell>
          <cell r="H38" t="str">
            <v>0010</v>
          </cell>
          <cell r="I38" t="str">
            <v>LATTE</v>
          </cell>
          <cell r="J38" t="str">
            <v>LATTE</v>
          </cell>
          <cell r="L38" t="str">
            <v>MANCHESTER</v>
          </cell>
          <cell r="M38" t="str">
            <v>H.PADFL_SPR</v>
          </cell>
          <cell r="N38" t="str">
            <v>H.PADFL_SPR0010</v>
          </cell>
          <cell r="O38" t="str">
            <v>SUE0010LATLAT</v>
          </cell>
          <cell r="P38" t="str">
            <v>H.PADFL_SPR0010_SUE0010LATLAT</v>
          </cell>
        </row>
        <row r="39">
          <cell r="D39" t="str">
            <v>PARIS / STN0008FCHBLK</v>
          </cell>
          <cell r="E39" t="str">
            <v>X4</v>
          </cell>
          <cell r="F39" t="str">
            <v>A</v>
          </cell>
          <cell r="G39" t="str">
            <v>SATIN</v>
          </cell>
          <cell r="H39" t="str">
            <v>0008</v>
          </cell>
          <cell r="I39" t="str">
            <v>FUCHSIA</v>
          </cell>
          <cell r="J39" t="str">
            <v>BLACK</v>
          </cell>
          <cell r="L39" t="str">
            <v>PARIS</v>
          </cell>
          <cell r="M39" t="str">
            <v>H.PADFL_SPH</v>
          </cell>
          <cell r="N39" t="str">
            <v>H.PADFL_SPH0011</v>
          </cell>
          <cell r="O39" t="str">
            <v>STN0008FCHBLK</v>
          </cell>
          <cell r="P39" t="str">
            <v>H.PADFL_SPH0011_STN0008FCHBLK</v>
          </cell>
        </row>
        <row r="40">
          <cell r="D40" t="str">
            <v>PARIS / TWL0008NAVGLD</v>
          </cell>
          <cell r="E40" t="str">
            <v>X4</v>
          </cell>
          <cell r="F40" t="str">
            <v>A</v>
          </cell>
          <cell r="G40" t="str">
            <v>TWILL</v>
          </cell>
          <cell r="H40" t="str">
            <v>0008</v>
          </cell>
          <cell r="I40" t="str">
            <v>NAVY</v>
          </cell>
          <cell r="J40" t="str">
            <v>GOLD</v>
          </cell>
          <cell r="L40" t="str">
            <v>PARIS</v>
          </cell>
          <cell r="M40" t="str">
            <v>H.PADFL_SPH</v>
          </cell>
          <cell r="N40" t="str">
            <v>H.PADFL_SPH0011</v>
          </cell>
          <cell r="O40" t="str">
            <v>TWL0008NAVGLD</v>
          </cell>
          <cell r="P40" t="str">
            <v>H.PADFL_SPH0011_TWL0008NAVGLD</v>
          </cell>
        </row>
        <row r="41">
          <cell r="D41" t="str">
            <v>PARIS / TWL0008RYLBRZ</v>
          </cell>
          <cell r="E41" t="str">
            <v>X4</v>
          </cell>
          <cell r="F41" t="str">
            <v>A</v>
          </cell>
          <cell r="G41" t="str">
            <v>TWILL</v>
          </cell>
          <cell r="H41" t="str">
            <v>0008</v>
          </cell>
          <cell r="I41" t="str">
            <v>ROYAL BLUE</v>
          </cell>
          <cell r="J41" t="str">
            <v>BRONZE</v>
          </cell>
          <cell r="L41" t="str">
            <v>PARIS</v>
          </cell>
          <cell r="M41" t="str">
            <v>H.PADFL_SPH</v>
          </cell>
          <cell r="N41" t="str">
            <v>H.PADFL_SPH0011</v>
          </cell>
          <cell r="O41" t="str">
            <v>TWL0008RYLBRZ</v>
          </cell>
          <cell r="P41" t="str">
            <v>H.PADFL_SPH0011_TWL0008RYLBRZ</v>
          </cell>
        </row>
        <row r="42">
          <cell r="D42" t="str">
            <v>PARIS / TWL0008WHTWHT</v>
          </cell>
          <cell r="E42" t="str">
            <v>X4</v>
          </cell>
          <cell r="F42" t="str">
            <v>A</v>
          </cell>
          <cell r="G42" t="str">
            <v>TWILL</v>
          </cell>
          <cell r="H42" t="str">
            <v>0008</v>
          </cell>
          <cell r="I42" t="str">
            <v>WHITE</v>
          </cell>
          <cell r="J42" t="str">
            <v>WHITE</v>
          </cell>
          <cell r="L42" t="str">
            <v>PARIS</v>
          </cell>
          <cell r="M42" t="str">
            <v>H.PADFL_SPH</v>
          </cell>
          <cell r="N42" t="str">
            <v>H.PADFL_SPH0011</v>
          </cell>
          <cell r="O42" t="str">
            <v>TWL0008WHTWHT</v>
          </cell>
          <cell r="P42" t="str">
            <v>H.PADFL_SPH0011_TWL0008WHTWHT</v>
          </cell>
        </row>
        <row r="43">
          <cell r="D43" t="str">
            <v>PARIS / STN0008BLKGLD</v>
          </cell>
          <cell r="E43" t="str">
            <v>X4</v>
          </cell>
          <cell r="F43" t="str">
            <v>A</v>
          </cell>
          <cell r="G43" t="str">
            <v>SATIN</v>
          </cell>
          <cell r="H43" t="str">
            <v>0008</v>
          </cell>
          <cell r="I43" t="str">
            <v>BLACK</v>
          </cell>
          <cell r="J43" t="str">
            <v>GOLD</v>
          </cell>
          <cell r="L43" t="str">
            <v>PARIS</v>
          </cell>
          <cell r="M43" t="str">
            <v>H.PADFL_SPH</v>
          </cell>
          <cell r="N43" t="str">
            <v>H.PADFL_SPH0011</v>
          </cell>
          <cell r="O43" t="str">
            <v>STN0008BLKGLD</v>
          </cell>
          <cell r="P43" t="str">
            <v>H.PADFL_SPH0011_STN0008BLKGLD</v>
          </cell>
        </row>
        <row r="44">
          <cell r="D44" t="str">
            <v>PARIS / TWL0009ORGORG</v>
          </cell>
          <cell r="E44" t="str">
            <v>X4</v>
          </cell>
          <cell r="F44" t="str">
            <v>A</v>
          </cell>
          <cell r="G44" t="str">
            <v>TWILL</v>
          </cell>
          <cell r="H44" t="str">
            <v>0009</v>
          </cell>
          <cell r="I44" t="str">
            <v>ORANGE</v>
          </cell>
          <cell r="J44" t="str">
            <v>ORANGE</v>
          </cell>
          <cell r="L44" t="str">
            <v>PARIS</v>
          </cell>
          <cell r="M44" t="str">
            <v>H.PADFL_SPH</v>
          </cell>
          <cell r="N44" t="str">
            <v>H.PADFL_SPH0011</v>
          </cell>
          <cell r="O44" t="str">
            <v>TWL0009ORGORG</v>
          </cell>
          <cell r="P44" t="str">
            <v>H.PADFL_SPH0011_TWL0009ORGORG</v>
          </cell>
        </row>
        <row r="45">
          <cell r="D45" t="str">
            <v>PARIS / STN0008ELBELB</v>
          </cell>
          <cell r="E45" t="str">
            <v>X4</v>
          </cell>
          <cell r="F45" t="str">
            <v>A</v>
          </cell>
          <cell r="G45" t="str">
            <v>SATIN</v>
          </cell>
          <cell r="H45" t="str">
            <v>0008</v>
          </cell>
          <cell r="I45" t="str">
            <v>ELECTRIC BLUE</v>
          </cell>
          <cell r="J45" t="str">
            <v>ELECTRIC BLUE</v>
          </cell>
          <cell r="L45" t="str">
            <v>PARIS</v>
          </cell>
          <cell r="M45" t="str">
            <v>H.PADFL_SPH</v>
          </cell>
          <cell r="N45" t="str">
            <v>H.PADFL_SPH0011</v>
          </cell>
          <cell r="O45" t="str">
            <v>STN0008ELBELB</v>
          </cell>
          <cell r="P45" t="str">
            <v>H.PADFL_SPH0011_STN0008ELBELB</v>
          </cell>
        </row>
        <row r="46">
          <cell r="D46" t="str">
            <v>LONDON / STN0006BLKBLK</v>
          </cell>
          <cell r="E46" t="str">
            <v>X4</v>
          </cell>
          <cell r="F46" t="str">
            <v>A</v>
          </cell>
          <cell r="G46" t="str">
            <v>SATIN</v>
          </cell>
          <cell r="H46" t="str">
            <v>0006</v>
          </cell>
          <cell r="I46" t="str">
            <v>BLACK</v>
          </cell>
          <cell r="J46" t="str">
            <v>BLACK</v>
          </cell>
          <cell r="L46" t="str">
            <v>LONDON</v>
          </cell>
          <cell r="M46" t="str">
            <v>H.PADFL_SPD</v>
          </cell>
          <cell r="N46" t="str">
            <v>H.PADFL_SPD0012</v>
          </cell>
          <cell r="O46" t="str">
            <v>STN0006BLKBLK</v>
          </cell>
          <cell r="P46" t="str">
            <v>H.PADFL_SPD0012_STN0006BLKBLK</v>
          </cell>
        </row>
        <row r="47">
          <cell r="D47" t="str">
            <v>LONDON / STN0006BRWGLD</v>
          </cell>
          <cell r="E47" t="str">
            <v>X4</v>
          </cell>
          <cell r="F47" t="str">
            <v>A</v>
          </cell>
          <cell r="G47" t="str">
            <v>SATIN</v>
          </cell>
          <cell r="H47" t="str">
            <v>0006</v>
          </cell>
          <cell r="I47" t="str">
            <v>BROWN</v>
          </cell>
          <cell r="J47" t="str">
            <v>GOLD</v>
          </cell>
          <cell r="L47" t="str">
            <v>LONDON</v>
          </cell>
          <cell r="M47" t="str">
            <v>H.PADFL_SPD</v>
          </cell>
          <cell r="N47" t="str">
            <v>H.PADFL_SPD0012</v>
          </cell>
          <cell r="O47" t="str">
            <v>STN0006BRWGLD</v>
          </cell>
          <cell r="P47" t="str">
            <v>H.PADFL_SPD0012_STN0006BRWGLD</v>
          </cell>
        </row>
        <row r="48">
          <cell r="D48" t="str">
            <v>LONDON / TWL0007NAVGLD</v>
          </cell>
          <cell r="E48" t="str">
            <v>X4</v>
          </cell>
          <cell r="F48" t="str">
            <v>A</v>
          </cell>
          <cell r="G48" t="str">
            <v>TWILL</v>
          </cell>
          <cell r="H48" t="str">
            <v>0007</v>
          </cell>
          <cell r="I48" t="str">
            <v>NAVY</v>
          </cell>
          <cell r="J48" t="str">
            <v>GOLD</v>
          </cell>
          <cell r="L48" t="str">
            <v>LONDON</v>
          </cell>
          <cell r="M48" t="str">
            <v>H.PADFL_SPD</v>
          </cell>
          <cell r="N48" t="str">
            <v>H.PADFL_SPD0012</v>
          </cell>
          <cell r="O48" t="str">
            <v>TWL0007NAVGLD</v>
          </cell>
          <cell r="P48" t="str">
            <v>H.PADFL_SPD0012_TWL0007NAVGLD</v>
          </cell>
        </row>
        <row r="49">
          <cell r="D49" t="str">
            <v>LONDON / STN0006BLKRGL</v>
          </cell>
          <cell r="E49" t="str">
            <v>X4</v>
          </cell>
          <cell r="F49" t="str">
            <v>A</v>
          </cell>
          <cell r="G49" t="str">
            <v>SATIN</v>
          </cell>
          <cell r="H49" t="str">
            <v>0006</v>
          </cell>
          <cell r="I49" t="str">
            <v>BLACK</v>
          </cell>
          <cell r="J49" t="str">
            <v>ROSE GOLD</v>
          </cell>
          <cell r="L49" t="str">
            <v>LONDON</v>
          </cell>
          <cell r="M49" t="str">
            <v>H.PADFL_SPD</v>
          </cell>
          <cell r="N49" t="str">
            <v>H.PADFL_SPD0012</v>
          </cell>
          <cell r="O49" t="str">
            <v>STN0006BLKRGL</v>
          </cell>
          <cell r="P49" t="str">
            <v>H.PADFL_SPD0012_STN0006BLKRGL</v>
          </cell>
        </row>
        <row r="50">
          <cell r="D50" t="str">
            <v>LONDON / TWL0007DORDOR</v>
          </cell>
          <cell r="E50" t="str">
            <v>X4</v>
          </cell>
          <cell r="F50" t="str">
            <v>A</v>
          </cell>
          <cell r="G50" t="str">
            <v>TWILL</v>
          </cell>
          <cell r="H50" t="str">
            <v>0007</v>
          </cell>
          <cell r="I50" t="str">
            <v>DARK ORANGE</v>
          </cell>
          <cell r="J50" t="str">
            <v>DARK ORANGE</v>
          </cell>
          <cell r="L50" t="str">
            <v>LONDON</v>
          </cell>
          <cell r="M50" t="str">
            <v>H.PADFL_SPD</v>
          </cell>
          <cell r="N50" t="str">
            <v>H.PADFL_SPD0012</v>
          </cell>
          <cell r="O50" t="str">
            <v>TWL0007DORDOR</v>
          </cell>
          <cell r="P50" t="str">
            <v>H.PADFL_SPD0012_TWL0007DORDOR</v>
          </cell>
        </row>
        <row r="51">
          <cell r="D51" t="str">
            <v>LONDON / TWL0007PANBRW</v>
          </cell>
          <cell r="E51" t="str">
            <v>X4</v>
          </cell>
          <cell r="F51" t="str">
            <v>A</v>
          </cell>
          <cell r="G51" t="str">
            <v>TWILL</v>
          </cell>
          <cell r="H51" t="str">
            <v>0007</v>
          </cell>
          <cell r="I51" t="str">
            <v>PANNA</v>
          </cell>
          <cell r="J51" t="str">
            <v>BROWN</v>
          </cell>
          <cell r="L51" t="str">
            <v>LONDON</v>
          </cell>
          <cell r="M51" t="str">
            <v>H.PADFL_SPD</v>
          </cell>
          <cell r="N51" t="str">
            <v>H.PADFL_SPD0012</v>
          </cell>
          <cell r="O51" t="str">
            <v>TWL0007PANBRW</v>
          </cell>
          <cell r="P51" t="str">
            <v>H.PADFL_SPD0012_TWL0007PANBRW</v>
          </cell>
        </row>
        <row r="52">
          <cell r="D52" t="str">
            <v>LONDON / STN0006BORGLD</v>
          </cell>
          <cell r="E52" t="str">
            <v>X4</v>
          </cell>
          <cell r="F52" t="str">
            <v>A</v>
          </cell>
          <cell r="G52" t="str">
            <v>SATIN</v>
          </cell>
          <cell r="H52" t="str">
            <v>0006</v>
          </cell>
          <cell r="I52" t="str">
            <v>BORDEAUX</v>
          </cell>
          <cell r="J52" t="str">
            <v>GOLD</v>
          </cell>
          <cell r="L52" t="str">
            <v>LONDON</v>
          </cell>
          <cell r="M52" t="str">
            <v>H.PADFL_SPD</v>
          </cell>
          <cell r="N52" t="str">
            <v>H.PADFL_SPD0012</v>
          </cell>
          <cell r="O52" t="str">
            <v>STN0006BORGLD</v>
          </cell>
          <cell r="P52" t="str">
            <v>H.PADFL_SPD0012_STN0006BORGLD</v>
          </cell>
        </row>
        <row r="53">
          <cell r="D53" t="str">
            <v>PARIS-P / STN0008FCHBLK</v>
          </cell>
          <cell r="E53" t="str">
            <v>X4</v>
          </cell>
          <cell r="F53" t="str">
            <v>A</v>
          </cell>
          <cell r="G53" t="str">
            <v>SATIN</v>
          </cell>
          <cell r="H53" t="str">
            <v>0008</v>
          </cell>
          <cell r="I53" t="str">
            <v>FUCHSIA</v>
          </cell>
          <cell r="J53" t="str">
            <v>BLACK</v>
          </cell>
          <cell r="L53" t="str">
            <v>PARIS-P</v>
          </cell>
          <cell r="M53" t="str">
            <v>H.PADPN_SPH</v>
          </cell>
          <cell r="N53" t="str">
            <v>H.PADPN_SPH0013</v>
          </cell>
          <cell r="O53" t="str">
            <v>STN0008FCHBLK</v>
          </cell>
          <cell r="P53" t="str">
            <v>H.PADPN_SPH0013_STN0008FCHBLK</v>
          </cell>
        </row>
        <row r="54">
          <cell r="D54" t="str">
            <v>PARIS-P / STN0008ELBELB</v>
          </cell>
          <cell r="E54" t="str">
            <v>X4</v>
          </cell>
          <cell r="F54" t="str">
            <v>A</v>
          </cell>
          <cell r="G54" t="str">
            <v>SATIN</v>
          </cell>
          <cell r="H54" t="str">
            <v>0008</v>
          </cell>
          <cell r="I54" t="str">
            <v>ELECTRIC BLUE</v>
          </cell>
          <cell r="J54" t="str">
            <v>ELECTRIC BLUE</v>
          </cell>
          <cell r="L54" t="str">
            <v>PARIS-P</v>
          </cell>
          <cell r="M54" t="str">
            <v>H.PADPN_SPH</v>
          </cell>
          <cell r="N54" t="str">
            <v>H.PADPN_SPH0013</v>
          </cell>
          <cell r="O54" t="str">
            <v>STN0008ELBELB</v>
          </cell>
          <cell r="P54" t="str">
            <v>H.PADPN_SPH0013_STN0008ELBELB</v>
          </cell>
        </row>
        <row r="55">
          <cell r="D55" t="str">
            <v>PARIS-P / STN0008ORGORG</v>
          </cell>
          <cell r="E55" t="str">
            <v>X4</v>
          </cell>
          <cell r="F55" t="str">
            <v>A</v>
          </cell>
          <cell r="G55" t="str">
            <v>SATIN</v>
          </cell>
          <cell r="H55" t="str">
            <v>0008</v>
          </cell>
          <cell r="I55" t="str">
            <v>ORANGE</v>
          </cell>
          <cell r="J55" t="str">
            <v>ORANGE</v>
          </cell>
          <cell r="L55" t="str">
            <v>PARIS-P</v>
          </cell>
          <cell r="M55" t="str">
            <v>H.PADPN_SPH</v>
          </cell>
          <cell r="N55" t="str">
            <v>H.PADPN_SPH0013</v>
          </cell>
          <cell r="O55" t="str">
            <v>STN0008ORGORG</v>
          </cell>
          <cell r="P55" t="str">
            <v>H.PADPN_SPH0013_STN0008ORGORG</v>
          </cell>
        </row>
        <row r="56">
          <cell r="D56" t="str">
            <v>PARIS-P / STN0008NAVGLD</v>
          </cell>
          <cell r="E56" t="str">
            <v>X4</v>
          </cell>
          <cell r="F56" t="str">
            <v>A</v>
          </cell>
          <cell r="G56" t="str">
            <v>SATIN</v>
          </cell>
          <cell r="H56" t="str">
            <v>0008</v>
          </cell>
          <cell r="I56" t="str">
            <v>NAVY</v>
          </cell>
          <cell r="J56" t="str">
            <v>GOLD</v>
          </cell>
          <cell r="L56" t="str">
            <v>PARIS-P</v>
          </cell>
          <cell r="M56" t="str">
            <v>H.PADPN_SPH</v>
          </cell>
          <cell r="N56" t="str">
            <v>H.PADPN_SPH0013</v>
          </cell>
          <cell r="O56" t="str">
            <v>STN0008NAVGLD</v>
          </cell>
          <cell r="P56" t="str">
            <v>H.PADPN_SPH0013_STN0008NAVGLD</v>
          </cell>
        </row>
        <row r="57">
          <cell r="D57" t="str">
            <v>PARIS-P / STN0008BLKGLD</v>
          </cell>
          <cell r="E57" t="str">
            <v>X4</v>
          </cell>
          <cell r="F57" t="str">
            <v>A</v>
          </cell>
          <cell r="G57" t="str">
            <v>SATIN</v>
          </cell>
          <cell r="H57" t="str">
            <v>0008</v>
          </cell>
          <cell r="I57" t="str">
            <v>BLACK</v>
          </cell>
          <cell r="J57" t="str">
            <v>GOLD</v>
          </cell>
          <cell r="L57" t="str">
            <v>PARIS-P</v>
          </cell>
          <cell r="M57" t="str">
            <v>H.PADPN_SPH</v>
          </cell>
          <cell r="N57" t="str">
            <v>H.PADPN_SPH0013</v>
          </cell>
          <cell r="O57" t="str">
            <v>STN0008BLKGLD</v>
          </cell>
          <cell r="P57" t="str">
            <v>H.PADPN_SPH0013_STN0008BLKGLD</v>
          </cell>
        </row>
        <row r="58">
          <cell r="D58" t="str">
            <v>PARIS-P / STN0008REDBLK</v>
          </cell>
          <cell r="E58" t="str">
            <v>X4</v>
          </cell>
          <cell r="F58" t="str">
            <v>A</v>
          </cell>
          <cell r="G58" t="str">
            <v>SATIN</v>
          </cell>
          <cell r="H58" t="str">
            <v>0008</v>
          </cell>
          <cell r="I58" t="str">
            <v>RED</v>
          </cell>
          <cell r="J58" t="str">
            <v>BLACK</v>
          </cell>
          <cell r="L58" t="str">
            <v>PARIS-P</v>
          </cell>
          <cell r="M58" t="str">
            <v>H.PADPN_SPH</v>
          </cell>
          <cell r="N58" t="str">
            <v>H.PADPN_SPH0013</v>
          </cell>
          <cell r="O58" t="str">
            <v>STN0008REDBLK</v>
          </cell>
          <cell r="P58" t="str">
            <v>H.PADPN_SPH0013_STN0008REDBLK</v>
          </cell>
        </row>
        <row r="59">
          <cell r="D59" t="str">
            <v>LONDON-P / STN0006NAVNAV</v>
          </cell>
          <cell r="E59" t="str">
            <v>X4</v>
          </cell>
          <cell r="F59" t="str">
            <v>A</v>
          </cell>
          <cell r="G59" t="str">
            <v>SATIN</v>
          </cell>
          <cell r="H59" t="str">
            <v>0006</v>
          </cell>
          <cell r="I59" t="str">
            <v>NAVY</v>
          </cell>
          <cell r="J59" t="str">
            <v>NAVY</v>
          </cell>
          <cell r="L59" t="str">
            <v>LONDON-P</v>
          </cell>
          <cell r="M59" t="str">
            <v>H.PADPN_SPD</v>
          </cell>
          <cell r="N59" t="str">
            <v>H.PADPN_SPD0014</v>
          </cell>
          <cell r="O59" t="str">
            <v>STN0006NAVNAV</v>
          </cell>
          <cell r="P59" t="str">
            <v>H.PADPN_SPD0014_STN0006NAVNAV</v>
          </cell>
        </row>
        <row r="60">
          <cell r="D60" t="str">
            <v>LONDON-P / TWL0007WHTWHT</v>
          </cell>
          <cell r="E60" t="str">
            <v>X4</v>
          </cell>
          <cell r="F60" t="str">
            <v>A</v>
          </cell>
          <cell r="G60" t="str">
            <v>TWILL</v>
          </cell>
          <cell r="H60" t="str">
            <v>0007</v>
          </cell>
          <cell r="I60" t="str">
            <v>WHITE</v>
          </cell>
          <cell r="J60" t="str">
            <v>WHITE</v>
          </cell>
          <cell r="L60" t="str">
            <v>LONDON-P</v>
          </cell>
          <cell r="M60" t="str">
            <v>H.PADPN_SPD</v>
          </cell>
          <cell r="N60" t="str">
            <v>H.PADPN_SPD0014</v>
          </cell>
          <cell r="O60" t="str">
            <v>TWL0007WHTWHT</v>
          </cell>
          <cell r="P60" t="str">
            <v>H.PADPN_SPD0014_TWL0007WHTWHT</v>
          </cell>
        </row>
        <row r="61">
          <cell r="D61" t="str">
            <v>LONDON-P / STN0006BLKGLD</v>
          </cell>
          <cell r="E61" t="str">
            <v>X4</v>
          </cell>
          <cell r="F61" t="str">
            <v>A</v>
          </cell>
          <cell r="G61" t="str">
            <v>SATIN</v>
          </cell>
          <cell r="H61" t="str">
            <v>0006</v>
          </cell>
          <cell r="I61" t="str">
            <v>BLACK</v>
          </cell>
          <cell r="J61" t="str">
            <v>GOLD</v>
          </cell>
          <cell r="L61" t="str">
            <v>LONDON-P</v>
          </cell>
          <cell r="M61" t="str">
            <v>H.PADPN_SPD</v>
          </cell>
          <cell r="N61" t="str">
            <v>H.PADPN_SPD0014</v>
          </cell>
          <cell r="O61" t="str">
            <v>STN0006BLKGLD</v>
          </cell>
          <cell r="P61" t="str">
            <v>H.PADPN_SPD0014_STN0006BLKGLD</v>
          </cell>
        </row>
        <row r="62">
          <cell r="D62" t="str">
            <v>SANTORINI / BRD0012BORBOR</v>
          </cell>
          <cell r="E62" t="str">
            <v>X4</v>
          </cell>
          <cell r="F62" t="str">
            <v>A</v>
          </cell>
          <cell r="G62" t="str">
            <v>BRAIDED</v>
          </cell>
          <cell r="H62" t="str">
            <v>0012</v>
          </cell>
          <cell r="I62" t="str">
            <v>BORDEAUX</v>
          </cell>
          <cell r="J62" t="str">
            <v>BORDEAUX</v>
          </cell>
          <cell r="L62" t="str">
            <v>SANTORINI</v>
          </cell>
          <cell r="M62" t="str">
            <v>A.RACUX_BLT</v>
          </cell>
          <cell r="N62" t="str">
            <v>A.RACUX_BLT0015</v>
          </cell>
          <cell r="O62" t="str">
            <v>BRD0012BORBOR</v>
          </cell>
          <cell r="P62" t="str">
            <v>A.RACUX_BLT0015_BRD0012BORBOR</v>
          </cell>
        </row>
        <row r="63">
          <cell r="D63" t="str">
            <v>SANTORINI / BRD0012BORNAV</v>
          </cell>
          <cell r="E63" t="str">
            <v>X4</v>
          </cell>
          <cell r="F63" t="str">
            <v>A</v>
          </cell>
          <cell r="G63" t="str">
            <v>BRAIDED</v>
          </cell>
          <cell r="H63" t="str">
            <v>0012</v>
          </cell>
          <cell r="I63" t="str">
            <v>BORDEAUX</v>
          </cell>
          <cell r="J63" t="str">
            <v>NAVY</v>
          </cell>
          <cell r="L63" t="str">
            <v>SANTORINI</v>
          </cell>
          <cell r="M63" t="str">
            <v>A.RACUX_BLT</v>
          </cell>
          <cell r="N63" t="str">
            <v>A.RACUX_BLT0015</v>
          </cell>
          <cell r="O63" t="str">
            <v>BRD0012BORNAV</v>
          </cell>
          <cell r="P63" t="str">
            <v>A.RACUX_BLT0015_BRD0012BORNAV</v>
          </cell>
        </row>
        <row r="64">
          <cell r="D64" t="str">
            <v>SANTORINI / BRD0012BEGBRW</v>
          </cell>
          <cell r="E64" t="str">
            <v>X4</v>
          </cell>
          <cell r="F64" t="str">
            <v>A</v>
          </cell>
          <cell r="G64" t="str">
            <v>BRAIDED</v>
          </cell>
          <cell r="H64" t="str">
            <v>0012</v>
          </cell>
          <cell r="I64" t="str">
            <v>BEIGE</v>
          </cell>
          <cell r="J64" t="str">
            <v>BROWN</v>
          </cell>
          <cell r="L64" t="str">
            <v>SANTORINI</v>
          </cell>
          <cell r="M64" t="str">
            <v>A.RACUX_BLT</v>
          </cell>
          <cell r="N64" t="str">
            <v>A.RACUX_BLT0015</v>
          </cell>
          <cell r="O64" t="str">
            <v>BRD0012BEGBRW</v>
          </cell>
          <cell r="P64" t="str">
            <v>A.RACUX_BLT0015_BRD0012BEGBRW</v>
          </cell>
        </row>
        <row r="65">
          <cell r="D65" t="str">
            <v>SANTORINI / BRD0012NAVNAV</v>
          </cell>
          <cell r="E65" t="str">
            <v>X4</v>
          </cell>
          <cell r="F65" t="str">
            <v>A</v>
          </cell>
          <cell r="G65" t="str">
            <v>BRAIDED</v>
          </cell>
          <cell r="H65" t="str">
            <v>0012</v>
          </cell>
          <cell r="I65" t="str">
            <v>NAVY</v>
          </cell>
          <cell r="J65" t="str">
            <v>NAVY</v>
          </cell>
          <cell r="L65" t="str">
            <v>SANTORINI</v>
          </cell>
          <cell r="M65" t="str">
            <v>A.RACUX_BLT</v>
          </cell>
          <cell r="N65" t="str">
            <v>A.RACUX_BLT0015</v>
          </cell>
          <cell r="O65" t="str">
            <v>BRD0012NAVNAV</v>
          </cell>
          <cell r="P65" t="str">
            <v>A.RACUX_BLT0015_BRD0012NAVNAV</v>
          </cell>
        </row>
        <row r="66">
          <cell r="D66" t="str">
            <v>SANTORINI / BRD0012BEGBEG</v>
          </cell>
          <cell r="E66" t="str">
            <v>X4</v>
          </cell>
          <cell r="F66" t="str">
            <v>A</v>
          </cell>
          <cell r="G66" t="str">
            <v>BRAIDED</v>
          </cell>
          <cell r="H66" t="str">
            <v>0012</v>
          </cell>
          <cell r="I66" t="str">
            <v>BEIGE</v>
          </cell>
          <cell r="J66" t="str">
            <v>BEIGE</v>
          </cell>
          <cell r="L66" t="str">
            <v>SANTORINI</v>
          </cell>
          <cell r="M66" t="str">
            <v>A.RACUX_BLT</v>
          </cell>
          <cell r="N66" t="str">
            <v>A.RACUX_BLT0015</v>
          </cell>
          <cell r="O66" t="str">
            <v>BRD0012BEGBEG</v>
          </cell>
          <cell r="P66" t="str">
            <v>A.RACUX_BLT0015_BRD0012BEGBEG</v>
          </cell>
        </row>
        <row r="67">
          <cell r="D67" t="str">
            <v>SANTORINI / BRD0012GRYBBL</v>
          </cell>
          <cell r="E67" t="str">
            <v>X4</v>
          </cell>
          <cell r="F67" t="str">
            <v>A</v>
          </cell>
          <cell r="G67" t="str">
            <v>BRAIDED</v>
          </cell>
          <cell r="H67" t="str">
            <v>0012</v>
          </cell>
          <cell r="I67" t="str">
            <v>GRAY</v>
          </cell>
          <cell r="J67" t="str">
            <v>BLUE-BLACK</v>
          </cell>
          <cell r="L67" t="str">
            <v>SANTORINI</v>
          </cell>
          <cell r="M67" t="str">
            <v>A.RACUX_BLT</v>
          </cell>
          <cell r="N67" t="str">
            <v>A.RACUX_BLT0015</v>
          </cell>
          <cell r="O67" t="str">
            <v>BRD0012GRYBBL</v>
          </cell>
          <cell r="P67" t="str">
            <v>A.RACUX_BLT0015_BRD0012GRYBBL</v>
          </cell>
        </row>
        <row r="68">
          <cell r="D68" t="str">
            <v>SANTORINI / BRD0012BRWNAV</v>
          </cell>
          <cell r="E68" t="str">
            <v>X4</v>
          </cell>
          <cell r="F68" t="str">
            <v>A</v>
          </cell>
          <cell r="G68" t="str">
            <v>BRAIDED</v>
          </cell>
          <cell r="H68" t="str">
            <v>0012</v>
          </cell>
          <cell r="I68" t="str">
            <v>BROWN</v>
          </cell>
          <cell r="J68" t="str">
            <v>NAVY</v>
          </cell>
          <cell r="L68" t="str">
            <v>SANTORINI</v>
          </cell>
          <cell r="M68" t="str">
            <v>A.RACUX_BLT</v>
          </cell>
          <cell r="N68" t="str">
            <v>A.RACUX_BLT0015</v>
          </cell>
          <cell r="O68" t="str">
            <v>BRD0012BRWNAV</v>
          </cell>
          <cell r="P68" t="str">
            <v>A.RACUX_BLT0015_BRD0012BRWNAV</v>
          </cell>
        </row>
        <row r="69">
          <cell r="D69" t="str">
            <v>SANTORINI / BRD0012DGYDGY</v>
          </cell>
          <cell r="E69" t="str">
            <v>X4</v>
          </cell>
          <cell r="F69" t="str">
            <v>A</v>
          </cell>
          <cell r="G69" t="str">
            <v>BRAIDED</v>
          </cell>
          <cell r="H69" t="str">
            <v>0012</v>
          </cell>
          <cell r="I69" t="str">
            <v>DARK GRAY</v>
          </cell>
          <cell r="J69" t="str">
            <v>DARK GRAY</v>
          </cell>
          <cell r="L69" t="str">
            <v>SANTORINI</v>
          </cell>
          <cell r="M69" t="str">
            <v>A.RACUX_BLT</v>
          </cell>
          <cell r="N69" t="str">
            <v>A.RACUX_BLT0015</v>
          </cell>
          <cell r="O69" t="str">
            <v>BRD0012DGYDGY</v>
          </cell>
          <cell r="P69" t="str">
            <v>A.RACUX_BLT0015_BRD0012DGYDGY</v>
          </cell>
        </row>
        <row r="70">
          <cell r="D70" t="str">
            <v>SANTORINI / BRD0012MLGMLG</v>
          </cell>
          <cell r="E70" t="str">
            <v>X4</v>
          </cell>
          <cell r="F70" t="str">
            <v>A</v>
          </cell>
          <cell r="G70" t="str">
            <v>BRAIDED</v>
          </cell>
          <cell r="H70" t="str">
            <v>0012</v>
          </cell>
          <cell r="I70" t="str">
            <v>MELANGE GRAY</v>
          </cell>
          <cell r="J70" t="str">
            <v>MELANGE GRAY</v>
          </cell>
          <cell r="L70" t="str">
            <v>SANTORINI</v>
          </cell>
          <cell r="M70" t="str">
            <v>A.RACUX_BLT</v>
          </cell>
          <cell r="N70" t="str">
            <v>A.RACUX_BLT0015</v>
          </cell>
          <cell r="O70" t="str">
            <v>BRD0012MLGMLG</v>
          </cell>
          <cell r="P70" t="str">
            <v>A.RACUX_BLT0015_BRD0012MLGMLG</v>
          </cell>
        </row>
        <row r="71">
          <cell r="D71" t="str">
            <v>SANTORINI / BRD0012MLBMLB</v>
          </cell>
          <cell r="E71" t="str">
            <v>X4</v>
          </cell>
          <cell r="F71" t="str">
            <v>A</v>
          </cell>
          <cell r="G71" t="str">
            <v>BRAIDED</v>
          </cell>
          <cell r="H71" t="str">
            <v>0012</v>
          </cell>
          <cell r="I71" t="str">
            <v>MELANGE BLUE</v>
          </cell>
          <cell r="J71" t="str">
            <v>MELANGE BLUE</v>
          </cell>
          <cell r="L71" t="str">
            <v>SANTORINI</v>
          </cell>
          <cell r="M71" t="str">
            <v>A.RACUX_BLT</v>
          </cell>
          <cell r="N71" t="str">
            <v>A.RACUX_BLT0015</v>
          </cell>
          <cell r="O71" t="str">
            <v>BRD0012MLBMLB</v>
          </cell>
          <cell r="P71" t="str">
            <v>A.RACUX_BLT0015_BRD0012MLBMLB</v>
          </cell>
        </row>
        <row r="72">
          <cell r="D72" t="str">
            <v>SANTORINI / BRD0013MGR</v>
          </cell>
          <cell r="E72" t="str">
            <v>X5</v>
          </cell>
          <cell r="F72" t="str">
            <v>A</v>
          </cell>
          <cell r="G72" t="str">
            <v>BRAIDED</v>
          </cell>
          <cell r="H72" t="str">
            <v>0013</v>
          </cell>
          <cell r="I72" t="str">
            <v>MELANGE GREEN</v>
          </cell>
          <cell r="J72" t="str">
            <v>MELANGE GREEN</v>
          </cell>
          <cell r="L72" t="str">
            <v>SANTORINI</v>
          </cell>
          <cell r="M72" t="str">
            <v>A.RACUX_BLT</v>
          </cell>
          <cell r="N72" t="str">
            <v>A.RACUX_BLT0015</v>
          </cell>
          <cell r="O72" t="str">
            <v>BRD0013MGR</v>
          </cell>
          <cell r="P72" t="str">
            <v>A.RACUX_BLT0015_BRD0013MGR</v>
          </cell>
        </row>
        <row r="73">
          <cell r="D73" t="str">
            <v>SANTORINI / BRD0012LGYLGY</v>
          </cell>
          <cell r="E73" t="str">
            <v>X4</v>
          </cell>
          <cell r="F73" t="str">
            <v>A</v>
          </cell>
          <cell r="G73" t="str">
            <v>BRAIDED</v>
          </cell>
          <cell r="H73" t="str">
            <v>0012</v>
          </cell>
          <cell r="I73" t="str">
            <v>LIGHT GRAY</v>
          </cell>
          <cell r="J73" t="str">
            <v>LIGHT GRAY</v>
          </cell>
          <cell r="L73" t="str">
            <v>SANTORINI</v>
          </cell>
          <cell r="M73" t="str">
            <v>A.RACUX_BLT</v>
          </cell>
          <cell r="N73" t="str">
            <v>A.RACUX_BLT0015</v>
          </cell>
          <cell r="O73" t="str">
            <v>BRD0012LGYLGY</v>
          </cell>
          <cell r="P73" t="str">
            <v>A.RACUX_BLT0015_BRD0012LGYLGY</v>
          </cell>
        </row>
        <row r="74">
          <cell r="D74" t="str">
            <v>SANTORINI / BRD0012WHTWHT</v>
          </cell>
          <cell r="E74" t="str">
            <v>X4</v>
          </cell>
          <cell r="F74" t="str">
            <v>A</v>
          </cell>
          <cell r="G74" t="str">
            <v>BRAIDED</v>
          </cell>
          <cell r="H74" t="str">
            <v>0012</v>
          </cell>
          <cell r="I74" t="str">
            <v>WHITE</v>
          </cell>
          <cell r="J74" t="str">
            <v>WHITE</v>
          </cell>
          <cell r="L74" t="str">
            <v>SANTORINI</v>
          </cell>
          <cell r="M74" t="str">
            <v>A.RACUX_BLT</v>
          </cell>
          <cell r="N74" t="str">
            <v>A.RACUX_BLT0015</v>
          </cell>
          <cell r="O74" t="str">
            <v>BRD0012WHTWHT</v>
          </cell>
          <cell r="P74" t="str">
            <v>A.RACUX_BLT0015_BRD0012WHTWHT</v>
          </cell>
        </row>
        <row r="75">
          <cell r="D75" t="str">
            <v>SANTORINI / BRD0012REDRED</v>
          </cell>
          <cell r="E75" t="str">
            <v>X4</v>
          </cell>
          <cell r="F75" t="str">
            <v>A</v>
          </cell>
          <cell r="G75" t="str">
            <v>BRAIDED</v>
          </cell>
          <cell r="H75" t="str">
            <v>0012</v>
          </cell>
          <cell r="I75" t="str">
            <v>RED</v>
          </cell>
          <cell r="J75" t="str">
            <v>RED</v>
          </cell>
          <cell r="L75" t="str">
            <v>SANTORINI</v>
          </cell>
          <cell r="M75" t="str">
            <v>A.RACUX_BLT</v>
          </cell>
          <cell r="N75" t="str">
            <v>A.RACUX_BLT0015</v>
          </cell>
          <cell r="O75" t="str">
            <v>BRD0012REDRED</v>
          </cell>
          <cell r="P75" t="str">
            <v>A.RACUX_BLT0015_BRD0012REDRED</v>
          </cell>
        </row>
        <row r="76">
          <cell r="D76" t="str">
            <v>SANTORINI / BRD0012BLKBLK</v>
          </cell>
          <cell r="E76" t="str">
            <v>X4</v>
          </cell>
          <cell r="F76" t="str">
            <v>A</v>
          </cell>
          <cell r="G76" t="str">
            <v>BRAIDED</v>
          </cell>
          <cell r="H76" t="str">
            <v>0012</v>
          </cell>
          <cell r="I76" t="str">
            <v>BLACK</v>
          </cell>
          <cell r="J76" t="str">
            <v>BLACK</v>
          </cell>
          <cell r="L76" t="str">
            <v>SANTORINI</v>
          </cell>
          <cell r="M76" t="str">
            <v>A.RACUX_BLT</v>
          </cell>
          <cell r="N76" t="str">
            <v>A.RACUX_BLT0015</v>
          </cell>
          <cell r="O76" t="str">
            <v>BRD0012BLKBLK</v>
          </cell>
          <cell r="P76" t="str">
            <v>A.RACUX_BLT0015_BRD0012BLKBLK</v>
          </cell>
        </row>
        <row r="77">
          <cell r="D77" t="str">
            <v>SANTORINI / BRD0012GRNGRN</v>
          </cell>
          <cell r="E77" t="str">
            <v>X4</v>
          </cell>
          <cell r="F77" t="str">
            <v>A</v>
          </cell>
          <cell r="G77" t="str">
            <v>BRAIDED</v>
          </cell>
          <cell r="H77" t="str">
            <v>0012</v>
          </cell>
          <cell r="I77" t="str">
            <v>GREEN</v>
          </cell>
          <cell r="J77" t="str">
            <v>GREEN</v>
          </cell>
          <cell r="L77" t="str">
            <v>SANTORINI</v>
          </cell>
          <cell r="M77" t="str">
            <v>A.RACUX_BLT</v>
          </cell>
          <cell r="N77" t="str">
            <v>A.RACUX_BLT0015</v>
          </cell>
          <cell r="O77" t="str">
            <v>BRD0012GRNGRN</v>
          </cell>
          <cell r="P77" t="str">
            <v>A.RACUX_BLT0015_BRD0012GRNGRN</v>
          </cell>
        </row>
        <row r="78">
          <cell r="D78" t="str">
            <v>CAMBRIDGE / PES0000WHTWHT</v>
          </cell>
          <cell r="E78" t="str">
            <v>X4</v>
          </cell>
          <cell r="F78" t="str">
            <v>A</v>
          </cell>
          <cell r="G78" t="str">
            <v>POLYESTER</v>
          </cell>
          <cell r="H78" t="str">
            <v>0000</v>
          </cell>
          <cell r="I78" t="str">
            <v>WHITE</v>
          </cell>
          <cell r="J78" t="str">
            <v>WHITE</v>
          </cell>
          <cell r="L78" t="str">
            <v>CAMBRIDGE</v>
          </cell>
          <cell r="M78" t="str">
            <v>A.RACMN_TIE</v>
          </cell>
          <cell r="N78" t="str">
            <v>A.RACMN_TIE0016</v>
          </cell>
          <cell r="O78" t="str">
            <v>PES0000WHTWHT</v>
          </cell>
          <cell r="P78" t="str">
            <v>A.RACMN_TIE0016_PES0000WHTWHT</v>
          </cell>
        </row>
        <row r="79">
          <cell r="D79" t="str">
            <v>LUCCA-3XB / NYL00003XBST1</v>
          </cell>
          <cell r="E79" t="str">
            <v>X3</v>
          </cell>
          <cell r="F79" t="str">
            <v>A</v>
          </cell>
          <cell r="G79" t="str">
            <v>NYLON</v>
          </cell>
          <cell r="H79" t="str">
            <v>0000</v>
          </cell>
          <cell r="I79" t="str">
            <v>3 PACK BUNDLE</v>
          </cell>
          <cell r="J79" t="str">
            <v>SET #1</v>
          </cell>
          <cell r="L79" t="str">
            <v>LUCCA-3XB</v>
          </cell>
          <cell r="M79" t="str">
            <v>A.RACKU_SOC</v>
          </cell>
          <cell r="N79" t="str">
            <v>A.RACKU_SOC0017</v>
          </cell>
          <cell r="O79" t="str">
            <v>NYL00003XBST1</v>
          </cell>
          <cell r="P79" t="str">
            <v>A.RACKU_SOC0017_NYL00003XBST1</v>
          </cell>
        </row>
        <row r="80">
          <cell r="D80" t="str">
            <v>LUCCA-3XB / NYL00003XBST2</v>
          </cell>
          <cell r="E80" t="str">
            <v>X3</v>
          </cell>
          <cell r="F80" t="str">
            <v>A</v>
          </cell>
          <cell r="G80" t="str">
            <v>NYLON</v>
          </cell>
          <cell r="H80" t="str">
            <v>0000</v>
          </cell>
          <cell r="I80" t="str">
            <v>3 PACK BUNDLE</v>
          </cell>
          <cell r="J80" t="str">
            <v>SET #2</v>
          </cell>
          <cell r="L80" t="str">
            <v>LUCCA-3XB</v>
          </cell>
          <cell r="M80" t="str">
            <v>A.RACKU_SOC</v>
          </cell>
          <cell r="N80" t="str">
            <v>A.RACKU_SOC0017</v>
          </cell>
          <cell r="O80" t="str">
            <v>NYL00003XBST2</v>
          </cell>
          <cell r="P80" t="str">
            <v>A.RACKU_SOC0017_NYL00003XBST2</v>
          </cell>
        </row>
        <row r="81">
          <cell r="D81" t="str">
            <v>CAPRI-3XB / NYL00003XBST1</v>
          </cell>
          <cell r="E81" t="str">
            <v>X5</v>
          </cell>
          <cell r="F81" t="str">
            <v>S</v>
          </cell>
          <cell r="G81" t="str">
            <v>NYLON</v>
          </cell>
          <cell r="H81" t="str">
            <v>0000</v>
          </cell>
          <cell r="I81" t="str">
            <v>3 PACK BUNDLE</v>
          </cell>
          <cell r="J81" t="str">
            <v>SET #1</v>
          </cell>
          <cell r="L81" t="str">
            <v>CAPRI-3XB</v>
          </cell>
          <cell r="M81" t="str">
            <v>A.RACAU_SOC</v>
          </cell>
          <cell r="N81" t="str">
            <v>A.RACAU_SOC0018</v>
          </cell>
          <cell r="O81" t="str">
            <v>NYL00003XBST1</v>
          </cell>
          <cell r="P81" t="str">
            <v>A.RACAU_SOC0018_NYL00003XBST1</v>
          </cell>
        </row>
        <row r="82">
          <cell r="D82" t="str">
            <v>CAPRI-3XB / NYL00003XBST2</v>
          </cell>
          <cell r="E82" t="str">
            <v>X5</v>
          </cell>
          <cell r="F82" t="str">
            <v>S</v>
          </cell>
          <cell r="G82" t="str">
            <v>NYLON</v>
          </cell>
          <cell r="H82" t="str">
            <v>0000</v>
          </cell>
          <cell r="I82" t="str">
            <v>3 PACK BUNDLE</v>
          </cell>
          <cell r="J82" t="str">
            <v>SET #2</v>
          </cell>
          <cell r="L82" t="str">
            <v>CAPRI-3XB</v>
          </cell>
          <cell r="M82" t="str">
            <v>A.RACAU_SOC</v>
          </cell>
          <cell r="N82" t="str">
            <v>A.RACAU_SOC0018</v>
          </cell>
          <cell r="O82" t="str">
            <v>NYL00003XBST2</v>
          </cell>
          <cell r="P82" t="str">
            <v>A.RACAU_SOC0018_NYL00003XBST2</v>
          </cell>
        </row>
        <row r="83">
          <cell r="D83" t="str">
            <v>CAPRI-3XB / NYL00003XBST3</v>
          </cell>
          <cell r="E83" t="str">
            <v>X5</v>
          </cell>
          <cell r="F83" t="str">
            <v>S</v>
          </cell>
          <cell r="G83" t="str">
            <v>NYLON</v>
          </cell>
          <cell r="H83" t="str">
            <v>0000</v>
          </cell>
          <cell r="I83" t="str">
            <v>3 PACK BUNDLE</v>
          </cell>
          <cell r="J83" t="str">
            <v>SET #3</v>
          </cell>
          <cell r="L83" t="str">
            <v>CAPRI-3XB</v>
          </cell>
          <cell r="M83" t="str">
            <v>A.RACAU_SOC</v>
          </cell>
          <cell r="N83" t="str">
            <v>A.RACAU_SOC0018</v>
          </cell>
          <cell r="O83" t="str">
            <v>NYL00003XBST3</v>
          </cell>
          <cell r="P83" t="str">
            <v>A.RACAU_SOC0018_NYL00003XBST3</v>
          </cell>
        </row>
        <row r="84">
          <cell r="D84" t="str">
            <v>CAPRI-3XB / NYL00003XBST4</v>
          </cell>
          <cell r="E84" t="str">
            <v>X5</v>
          </cell>
          <cell r="F84" t="str">
            <v>S</v>
          </cell>
          <cell r="G84" t="str">
            <v>NYLON</v>
          </cell>
          <cell r="H84" t="str">
            <v>0000</v>
          </cell>
          <cell r="I84" t="str">
            <v>3 PACK BUNDLE</v>
          </cell>
          <cell r="J84" t="str">
            <v>SET #4</v>
          </cell>
          <cell r="L84" t="str">
            <v>CAPRI-3XB</v>
          </cell>
          <cell r="M84" t="str">
            <v>A.RACAU_SOC</v>
          </cell>
          <cell r="N84" t="str">
            <v>A.RACAU_SOC0018</v>
          </cell>
          <cell r="O84" t="str">
            <v>NYL00003XBST4</v>
          </cell>
          <cell r="P84" t="str">
            <v>A.RACAU_SOC0018_NYL00003XBST4</v>
          </cell>
        </row>
        <row r="85">
          <cell r="D85" t="str">
            <v>CAPRI-3XB / NYL00003XBST5</v>
          </cell>
          <cell r="E85" t="str">
            <v>X5</v>
          </cell>
          <cell r="F85" t="str">
            <v>S</v>
          </cell>
          <cell r="G85" t="str">
            <v>NYLON</v>
          </cell>
          <cell r="H85" t="str">
            <v>0000</v>
          </cell>
          <cell r="I85" t="str">
            <v>3 PACK BUNDLE</v>
          </cell>
          <cell r="J85" t="str">
            <v>SET #5</v>
          </cell>
          <cell r="L85" t="str">
            <v>CAPRI-3XB</v>
          </cell>
          <cell r="M85" t="str">
            <v>A.RACAU_SOC</v>
          </cell>
          <cell r="N85" t="str">
            <v>A.RACAU_SOC0018</v>
          </cell>
          <cell r="O85" t="str">
            <v>NYL00003XBST5</v>
          </cell>
          <cell r="P85" t="str">
            <v>A.RACAU_SOC0018_NYL00003XBST5</v>
          </cell>
        </row>
        <row r="86">
          <cell r="D86" t="str">
            <v>CAPRI-3XB / NYL00003XBST6</v>
          </cell>
          <cell r="E86" t="str">
            <v>X5</v>
          </cell>
          <cell r="F86" t="str">
            <v>S</v>
          </cell>
          <cell r="G86" t="str">
            <v>NYLON</v>
          </cell>
          <cell r="H86" t="str">
            <v>0000</v>
          </cell>
          <cell r="I86" t="str">
            <v>3 PACK BUNDLE</v>
          </cell>
          <cell r="J86" t="str">
            <v>SET #6</v>
          </cell>
          <cell r="L86" t="str">
            <v>CAPRI-3XB</v>
          </cell>
          <cell r="M86" t="str">
            <v>A.RACAU_SOC</v>
          </cell>
          <cell r="N86" t="str">
            <v>A.RACAU_SOC0018</v>
          </cell>
          <cell r="O86" t="str">
            <v>NYL00003XBST6</v>
          </cell>
          <cell r="P86" t="str">
            <v>A.RACAU_SOC0018_NYL00003XBST6</v>
          </cell>
        </row>
        <row r="87">
          <cell r="D87" t="str">
            <v>LAZIO-3XB / NYL00003XBST1</v>
          </cell>
          <cell r="E87" t="str">
            <v>X3</v>
          </cell>
          <cell r="F87" t="str">
            <v>A</v>
          </cell>
          <cell r="G87" t="str">
            <v>NYLON</v>
          </cell>
          <cell r="H87" t="str">
            <v>0000</v>
          </cell>
          <cell r="I87" t="str">
            <v>3 PACK BUNDLE</v>
          </cell>
          <cell r="J87" t="str">
            <v>SET #1</v>
          </cell>
          <cell r="L87" t="str">
            <v>LAZIO-3XB</v>
          </cell>
          <cell r="M87" t="str">
            <v>A.RACAU_SOC</v>
          </cell>
          <cell r="N87" t="str">
            <v>A.RACAU_SOC0019</v>
          </cell>
          <cell r="O87" t="str">
            <v>NYL00003XBST1</v>
          </cell>
          <cell r="P87" t="str">
            <v>A.RACAU_SOC0019_NYL00003XBST1</v>
          </cell>
        </row>
        <row r="88">
          <cell r="D88" t="str">
            <v>ROMA-3XB / NYL00003XBST1</v>
          </cell>
          <cell r="E88" t="str">
            <v>X3</v>
          </cell>
          <cell r="F88" t="str">
            <v>A</v>
          </cell>
          <cell r="G88" t="str">
            <v>NYLON</v>
          </cell>
          <cell r="H88" t="str">
            <v>0000</v>
          </cell>
          <cell r="I88" t="str">
            <v>3 PACK BUNDLE</v>
          </cell>
          <cell r="J88" t="str">
            <v>SET #1</v>
          </cell>
          <cell r="L88" t="str">
            <v>ROMA-3XB</v>
          </cell>
          <cell r="M88" t="str">
            <v>A.RACAU_SOC</v>
          </cell>
          <cell r="N88" t="str">
            <v>A.RACAU_SOC0020</v>
          </cell>
          <cell r="O88" t="str">
            <v>NYL00003XBST1</v>
          </cell>
          <cell r="P88" t="str">
            <v>A.RACAU_SOC0020_NYL00003XBST1</v>
          </cell>
        </row>
        <row r="89">
          <cell r="D89" t="str">
            <v>TORINO-2XB / NYL00002XBST1</v>
          </cell>
          <cell r="E89" t="str">
            <v>X3</v>
          </cell>
          <cell r="F89" t="str">
            <v>A</v>
          </cell>
          <cell r="G89" t="str">
            <v>NYLON</v>
          </cell>
          <cell r="H89" t="str">
            <v>0000</v>
          </cell>
          <cell r="I89" t="str">
            <v>2 PACK BUNDLE</v>
          </cell>
          <cell r="J89" t="str">
            <v>SET #1</v>
          </cell>
          <cell r="L89" t="str">
            <v>TORINO-2XB</v>
          </cell>
          <cell r="M89" t="str">
            <v>A.RACAU_SOC</v>
          </cell>
          <cell r="N89" t="str">
            <v>A.RACAU_SOC0021</v>
          </cell>
          <cell r="O89" t="str">
            <v>NYL00002XBST1</v>
          </cell>
          <cell r="P89" t="str">
            <v>A.RACAU_SOC0021_NYL00002XBST1</v>
          </cell>
        </row>
        <row r="90">
          <cell r="D90" t="str">
            <v xml:space="preserve">LUCCA / </v>
          </cell>
          <cell r="E90" t="str">
            <v>X3</v>
          </cell>
          <cell r="F90" t="str">
            <v>A</v>
          </cell>
          <cell r="G90" t="str">
            <v>NYLON</v>
          </cell>
          <cell r="H90" t="str">
            <v>0000</v>
          </cell>
          <cell r="I90" t="str">
            <v>NAVY</v>
          </cell>
          <cell r="J90" t="str">
            <v>PURPLE</v>
          </cell>
          <cell r="L90" t="str">
            <v>LUCCA</v>
          </cell>
        </row>
        <row r="91">
          <cell r="D91" t="str">
            <v xml:space="preserve">LUCCA / </v>
          </cell>
          <cell r="E91" t="str">
            <v>X3</v>
          </cell>
          <cell r="F91" t="str">
            <v>A</v>
          </cell>
          <cell r="G91" t="str">
            <v>NYLON</v>
          </cell>
          <cell r="H91" t="str">
            <v>0000</v>
          </cell>
          <cell r="I91" t="str">
            <v>TURQUOISE</v>
          </cell>
          <cell r="J91" t="str">
            <v>RED</v>
          </cell>
          <cell r="L91" t="str">
            <v>LUCCA</v>
          </cell>
        </row>
        <row r="92">
          <cell r="D92" t="str">
            <v xml:space="preserve">LUCCA / </v>
          </cell>
          <cell r="E92" t="str">
            <v>X3</v>
          </cell>
          <cell r="F92" t="str">
            <v>A</v>
          </cell>
          <cell r="G92" t="str">
            <v>NYLON</v>
          </cell>
          <cell r="H92" t="str">
            <v>0000</v>
          </cell>
          <cell r="I92" t="str">
            <v>PURPLE</v>
          </cell>
          <cell r="J92" t="str">
            <v>FUCHSIA</v>
          </cell>
          <cell r="L92" t="str">
            <v>LUCCA</v>
          </cell>
        </row>
        <row r="93">
          <cell r="D93" t="str">
            <v xml:space="preserve">CAPRI / </v>
          </cell>
          <cell r="E93" t="str">
            <v>X3</v>
          </cell>
          <cell r="F93" t="str">
            <v>A</v>
          </cell>
          <cell r="G93" t="str">
            <v>NYLON</v>
          </cell>
          <cell r="H93" t="str">
            <v>0000</v>
          </cell>
          <cell r="I93" t="str">
            <v>NAVY</v>
          </cell>
          <cell r="J93" t="str">
            <v>RED</v>
          </cell>
          <cell r="L93" t="str">
            <v>CAPRI</v>
          </cell>
        </row>
        <row r="94">
          <cell r="D94" t="str">
            <v xml:space="preserve">CAPRI / </v>
          </cell>
          <cell r="E94" t="str">
            <v>X3</v>
          </cell>
          <cell r="F94" t="str">
            <v>A</v>
          </cell>
          <cell r="G94" t="str">
            <v>NYLON</v>
          </cell>
          <cell r="H94" t="str">
            <v>0000</v>
          </cell>
          <cell r="I94" t="str">
            <v>BEIGE</v>
          </cell>
          <cell r="J94" t="str">
            <v>ECRU</v>
          </cell>
          <cell r="L94" t="str">
            <v>CAPRI</v>
          </cell>
        </row>
        <row r="95">
          <cell r="D95" t="str">
            <v xml:space="preserve">CAPRI / </v>
          </cell>
          <cell r="E95" t="str">
            <v>X3</v>
          </cell>
          <cell r="F95" t="str">
            <v>A</v>
          </cell>
          <cell r="G95" t="str">
            <v>NYLON</v>
          </cell>
          <cell r="H95" t="str">
            <v>0000</v>
          </cell>
          <cell r="I95" t="str">
            <v>BORDEAUX</v>
          </cell>
          <cell r="J95" t="str">
            <v>ECRU</v>
          </cell>
          <cell r="L95" t="str">
            <v>CAPRI</v>
          </cell>
        </row>
        <row r="96">
          <cell r="D96" t="str">
            <v xml:space="preserve">LAZIO / </v>
          </cell>
          <cell r="E96" t="str">
            <v>X3</v>
          </cell>
          <cell r="F96" t="str">
            <v>A</v>
          </cell>
          <cell r="G96" t="str">
            <v>NYLON</v>
          </cell>
          <cell r="H96" t="str">
            <v>0000</v>
          </cell>
          <cell r="I96" t="str">
            <v>GRAY</v>
          </cell>
          <cell r="J96" t="str">
            <v>TURQUOISE</v>
          </cell>
          <cell r="L96" t="str">
            <v>LAZIO</v>
          </cell>
        </row>
        <row r="97">
          <cell r="D97" t="str">
            <v xml:space="preserve">LAZIO / </v>
          </cell>
          <cell r="E97" t="str">
            <v>X3</v>
          </cell>
          <cell r="F97" t="str">
            <v>A</v>
          </cell>
          <cell r="G97" t="str">
            <v>NYLON</v>
          </cell>
          <cell r="H97" t="str">
            <v>0000</v>
          </cell>
          <cell r="I97" t="str">
            <v>GRAY</v>
          </cell>
          <cell r="J97" t="str">
            <v>MAGENTA</v>
          </cell>
          <cell r="L97" t="str">
            <v>LAZIO</v>
          </cell>
        </row>
        <row r="98">
          <cell r="D98" t="str">
            <v xml:space="preserve">LAZIO / </v>
          </cell>
          <cell r="E98" t="str">
            <v>X3</v>
          </cell>
          <cell r="F98" t="str">
            <v>A</v>
          </cell>
          <cell r="G98" t="str">
            <v>NYLON</v>
          </cell>
          <cell r="H98" t="str">
            <v>0000</v>
          </cell>
          <cell r="I98" t="str">
            <v>GRAY</v>
          </cell>
          <cell r="J98" t="str">
            <v>ORANGE</v>
          </cell>
          <cell r="L98" t="str">
            <v>LAZIO</v>
          </cell>
        </row>
        <row r="99">
          <cell r="D99" t="str">
            <v xml:space="preserve">ROMA / </v>
          </cell>
          <cell r="E99" t="str">
            <v>X3</v>
          </cell>
          <cell r="F99" t="str">
            <v>A</v>
          </cell>
          <cell r="G99" t="str">
            <v>NYLON</v>
          </cell>
          <cell r="H99" t="str">
            <v>0000</v>
          </cell>
          <cell r="I99" t="str">
            <v>NAVY</v>
          </cell>
          <cell r="J99" t="str">
            <v>RED</v>
          </cell>
          <cell r="L99" t="str">
            <v>ROMA</v>
          </cell>
        </row>
        <row r="100">
          <cell r="D100" t="str">
            <v xml:space="preserve">ROMA / </v>
          </cell>
          <cell r="E100" t="str">
            <v>X3</v>
          </cell>
          <cell r="F100" t="str">
            <v>A</v>
          </cell>
          <cell r="G100" t="str">
            <v>NYLON</v>
          </cell>
          <cell r="H100" t="str">
            <v>0000</v>
          </cell>
          <cell r="I100" t="str">
            <v>BEIGE</v>
          </cell>
          <cell r="J100" t="str">
            <v>BLACK</v>
          </cell>
          <cell r="L100" t="str">
            <v>ROMA</v>
          </cell>
        </row>
        <row r="101">
          <cell r="D101" t="str">
            <v xml:space="preserve">ROMA / </v>
          </cell>
          <cell r="E101" t="str">
            <v>X3</v>
          </cell>
          <cell r="F101" t="str">
            <v>A</v>
          </cell>
          <cell r="G101" t="str">
            <v>NYLON</v>
          </cell>
          <cell r="H101" t="str">
            <v>0000</v>
          </cell>
          <cell r="I101" t="str">
            <v>BORDEAUX</v>
          </cell>
          <cell r="J101" t="str">
            <v>BLACK</v>
          </cell>
          <cell r="L101" t="str">
            <v>ROMA</v>
          </cell>
        </row>
        <row r="102">
          <cell r="D102" t="str">
            <v xml:space="preserve">TORINO / </v>
          </cell>
          <cell r="E102" t="str">
            <v>X3</v>
          </cell>
          <cell r="F102" t="str">
            <v>A</v>
          </cell>
          <cell r="G102" t="str">
            <v>NYLON</v>
          </cell>
          <cell r="H102" t="str">
            <v>0000</v>
          </cell>
          <cell r="I102" t="str">
            <v>NAVY</v>
          </cell>
          <cell r="J102" t="str">
            <v>RED</v>
          </cell>
          <cell r="L102" t="str">
            <v>TORINO</v>
          </cell>
        </row>
        <row r="103">
          <cell r="D103" t="str">
            <v xml:space="preserve">TORINO / </v>
          </cell>
          <cell r="E103" t="str">
            <v>X3</v>
          </cell>
          <cell r="F103" t="str">
            <v>A</v>
          </cell>
          <cell r="G103" t="str">
            <v>NYLON</v>
          </cell>
          <cell r="H103" t="str">
            <v>0000</v>
          </cell>
          <cell r="I103" t="str">
            <v>BORDEAUX</v>
          </cell>
          <cell r="J103" t="str">
            <v>BEIGE</v>
          </cell>
          <cell r="L103" t="str">
            <v>TORINO</v>
          </cell>
        </row>
        <row r="104">
          <cell r="D104" t="str">
            <v>NANDO / GRO0000DGYDGY</v>
          </cell>
          <cell r="E104" t="str">
            <v>X3</v>
          </cell>
          <cell r="F104" t="str">
            <v>A</v>
          </cell>
          <cell r="G104" t="str">
            <v>GROS-GRAIN</v>
          </cell>
          <cell r="H104" t="str">
            <v>0000</v>
          </cell>
          <cell r="I104" t="str">
            <v>DARK GRAY</v>
          </cell>
          <cell r="J104" t="str">
            <v>DARK GRAY</v>
          </cell>
          <cell r="L104" t="str">
            <v>NANDO</v>
          </cell>
          <cell r="M104" t="str">
            <v>A.HACUX_TAG</v>
          </cell>
          <cell r="N104" t="str">
            <v>A.HACUX_TAG0027</v>
          </cell>
          <cell r="O104" t="str">
            <v>GRO0000DGYDGY</v>
          </cell>
          <cell r="P104" t="str">
            <v>A.HACUX_TAG0027_GRO0000DGYDGY</v>
          </cell>
        </row>
        <row r="105">
          <cell r="D105" t="str">
            <v>FERNANDO / RIB0000BLKBLK</v>
          </cell>
          <cell r="E105" t="str">
            <v>X3</v>
          </cell>
          <cell r="F105" t="str">
            <v>A</v>
          </cell>
          <cell r="G105" t="str">
            <v>RIBBON</v>
          </cell>
          <cell r="H105" t="str">
            <v>0000</v>
          </cell>
          <cell r="I105" t="str">
            <v>BLACK</v>
          </cell>
          <cell r="J105" t="str">
            <v>BLACK</v>
          </cell>
          <cell r="L105" t="str">
            <v>FERNANDO</v>
          </cell>
          <cell r="M105" t="str">
            <v>A.RACNA_KYR</v>
          </cell>
          <cell r="N105" t="str">
            <v>A.RACNA_KYR0028</v>
          </cell>
          <cell r="O105" t="str">
            <v>RIB0000BLKBLK</v>
          </cell>
          <cell r="P105" t="str">
            <v>A.RACNA_KYR0028_RIB0000BLKBLK</v>
          </cell>
        </row>
        <row r="106">
          <cell r="D106" t="str">
            <v>OTTAWA / ACR0000BLKBLK</v>
          </cell>
          <cell r="E106" t="str">
            <v>X3</v>
          </cell>
          <cell r="F106" t="str">
            <v>W</v>
          </cell>
          <cell r="G106" t="str">
            <v>ACRYLIC</v>
          </cell>
          <cell r="H106" t="str">
            <v>0000</v>
          </cell>
          <cell r="I106" t="str">
            <v>BLACK</v>
          </cell>
          <cell r="J106" t="str">
            <v>BLACK</v>
          </cell>
          <cell r="L106" t="str">
            <v>OTTAWA</v>
          </cell>
          <cell r="M106" t="str">
            <v>A.RACAU_BEA</v>
          </cell>
          <cell r="N106" t="str">
            <v>A.RACAU_BEA0029</v>
          </cell>
          <cell r="O106" t="str">
            <v>ACR0000BLKBLK</v>
          </cell>
          <cell r="P106" t="str">
            <v>A.RACAU_BEA0029_ACR0000BLKBLK</v>
          </cell>
        </row>
        <row r="107">
          <cell r="D107" t="str">
            <v>CAPE TOWN / COT0000BLKBLK</v>
          </cell>
          <cell r="E107" t="str">
            <v>X3</v>
          </cell>
          <cell r="F107" t="str">
            <v>A</v>
          </cell>
          <cell r="G107" t="str">
            <v>COTTON</v>
          </cell>
          <cell r="H107" t="str">
            <v>0000</v>
          </cell>
          <cell r="I107" t="str">
            <v>BLACK</v>
          </cell>
          <cell r="J107" t="str">
            <v>BLACK</v>
          </cell>
          <cell r="L107" t="str">
            <v>CAPE TOWN</v>
          </cell>
          <cell r="M107" t="str">
            <v>A.RACAU_CAP</v>
          </cell>
          <cell r="N107" t="str">
            <v>A.RACAU_CAP0030</v>
          </cell>
          <cell r="O107" t="str">
            <v>COT0000BLKBLK</v>
          </cell>
          <cell r="P107" t="str">
            <v>A.RACAU_CAP0030_COT0000BLKBLK</v>
          </cell>
        </row>
        <row r="108">
          <cell r="D108" t="str">
            <v>CAPE TOWN / COT0000SNDSND</v>
          </cell>
          <cell r="E108" t="str">
            <v>X3</v>
          </cell>
          <cell r="F108" t="str">
            <v>A</v>
          </cell>
          <cell r="G108" t="str">
            <v>COTTON</v>
          </cell>
          <cell r="H108" t="str">
            <v>0000</v>
          </cell>
          <cell r="I108" t="str">
            <v>SAND</v>
          </cell>
          <cell r="J108" t="str">
            <v>SAND</v>
          </cell>
          <cell r="L108" t="str">
            <v>CAPE TOWN</v>
          </cell>
          <cell r="M108" t="str">
            <v>A.RACAU_CAP</v>
          </cell>
          <cell r="N108" t="str">
            <v>A.RACAU_CAP0030</v>
          </cell>
          <cell r="O108" t="str">
            <v>COT0000SNDSND</v>
          </cell>
          <cell r="P108" t="str">
            <v>A.RACAU_CAP0030_COT0000SNDSND</v>
          </cell>
        </row>
        <row r="109">
          <cell r="D109" t="str">
            <v>MONTANA / PIQ0013NAVWHT</v>
          </cell>
          <cell r="E109" t="str">
            <v>X4</v>
          </cell>
          <cell r="F109" t="str">
            <v>S</v>
          </cell>
          <cell r="G109" t="str">
            <v>PIQUET</v>
          </cell>
          <cell r="H109" t="str">
            <v>0013</v>
          </cell>
          <cell r="I109" t="str">
            <v>NAVY</v>
          </cell>
          <cell r="J109" t="str">
            <v>WHITE</v>
          </cell>
          <cell r="L109" t="str">
            <v>MONTANA</v>
          </cell>
          <cell r="M109" t="str">
            <v>R.TOPMN_SPL</v>
          </cell>
          <cell r="N109" t="str">
            <v>R.TOPMN_SPL0031</v>
          </cell>
          <cell r="O109" t="str">
            <v>PIQ0013NAVWHT</v>
          </cell>
          <cell r="P109" t="str">
            <v>R.TOPMN_SPL0031_PIQ0013NAVWHT</v>
          </cell>
        </row>
        <row r="110">
          <cell r="D110" t="str">
            <v>MONTANA / PIQ0013BLKWHT</v>
          </cell>
          <cell r="E110" t="str">
            <v>X4</v>
          </cell>
          <cell r="F110" t="str">
            <v>S</v>
          </cell>
          <cell r="G110" t="str">
            <v>PIQUET</v>
          </cell>
          <cell r="H110" t="str">
            <v>0013</v>
          </cell>
          <cell r="I110" t="str">
            <v>BLACK</v>
          </cell>
          <cell r="J110" t="str">
            <v>WHITE</v>
          </cell>
          <cell r="L110" t="str">
            <v>MONTANA</v>
          </cell>
          <cell r="M110" t="str">
            <v>R.TOPMN_SPL</v>
          </cell>
          <cell r="N110" t="str">
            <v>R.TOPMN_SPL0031</v>
          </cell>
          <cell r="O110" t="str">
            <v>PIQ0013BLKWHT</v>
          </cell>
          <cell r="P110" t="str">
            <v>R.TOPMN_SPL0031_PIQ0013BLKWHT</v>
          </cell>
        </row>
        <row r="111">
          <cell r="D111" t="str">
            <v>MONTANA / PIQ0013WHTWHT</v>
          </cell>
          <cell r="E111" t="str">
            <v>X4</v>
          </cell>
          <cell r="F111" t="str">
            <v>S</v>
          </cell>
          <cell r="G111" t="str">
            <v>PIQUET</v>
          </cell>
          <cell r="H111" t="str">
            <v>0013</v>
          </cell>
          <cell r="I111" t="str">
            <v>WHITE</v>
          </cell>
          <cell r="J111" t="str">
            <v>WHITE</v>
          </cell>
          <cell r="L111" t="str">
            <v>MONTANA</v>
          </cell>
          <cell r="M111" t="str">
            <v>R.TOPMN_SPL</v>
          </cell>
          <cell r="N111" t="str">
            <v>R.TOPMN_SPL0031</v>
          </cell>
          <cell r="O111" t="str">
            <v>PIQ0013WHTWHT</v>
          </cell>
          <cell r="P111" t="str">
            <v>R.TOPMN_SPL0031_PIQ0013WHTWHT</v>
          </cell>
        </row>
        <row r="112">
          <cell r="D112" t="str">
            <v>MONTANA / PIQ0013BORWHT</v>
          </cell>
          <cell r="E112" t="str">
            <v>X4</v>
          </cell>
          <cell r="F112" t="str">
            <v>S</v>
          </cell>
          <cell r="G112" t="str">
            <v>PIQUET</v>
          </cell>
          <cell r="H112" t="str">
            <v>0013</v>
          </cell>
          <cell r="I112" t="str">
            <v>BORDEAUX</v>
          </cell>
          <cell r="J112" t="str">
            <v>WHITE</v>
          </cell>
          <cell r="L112" t="str">
            <v>MONTANA</v>
          </cell>
          <cell r="M112" t="str">
            <v>R.TOPMN_SPL</v>
          </cell>
          <cell r="N112" t="str">
            <v>R.TOPMN_SPL0031</v>
          </cell>
          <cell r="O112" t="str">
            <v>PIQ0013BORWHT</v>
          </cell>
          <cell r="P112" t="str">
            <v>R.TOPMN_SPL0031_PIQ0013BORWHT</v>
          </cell>
        </row>
        <row r="113">
          <cell r="D113" t="str">
            <v>CANNES / PIQ0013BORBEG</v>
          </cell>
          <cell r="E113" t="str">
            <v>X4</v>
          </cell>
          <cell r="F113" t="str">
            <v>S</v>
          </cell>
          <cell r="G113" t="str">
            <v>PIQUET</v>
          </cell>
          <cell r="H113" t="str">
            <v>0013</v>
          </cell>
          <cell r="I113" t="str">
            <v>BORDEAUX</v>
          </cell>
          <cell r="J113" t="str">
            <v>BEIGE</v>
          </cell>
          <cell r="L113" t="str">
            <v>CANNES</v>
          </cell>
          <cell r="M113" t="str">
            <v>R.TOPWN_SPL</v>
          </cell>
          <cell r="N113" t="str">
            <v>R.TOPWN_SPL0032</v>
          </cell>
          <cell r="O113" t="str">
            <v>PIQ0013BORBEG</v>
          </cell>
          <cell r="P113" t="str">
            <v>R.TOPWN_SPL0032_PIQ0013BORBEG</v>
          </cell>
        </row>
        <row r="114">
          <cell r="D114" t="str">
            <v>CANNES / PIQ0013NAVBEG</v>
          </cell>
          <cell r="E114" t="str">
            <v>X4</v>
          </cell>
          <cell r="F114" t="str">
            <v>S</v>
          </cell>
          <cell r="G114" t="str">
            <v>PIQUET</v>
          </cell>
          <cell r="H114" t="str">
            <v>0013</v>
          </cell>
          <cell r="I114" t="str">
            <v>NAVY</v>
          </cell>
          <cell r="J114" t="str">
            <v>BEIGE</v>
          </cell>
          <cell r="L114" t="str">
            <v>CANNES</v>
          </cell>
          <cell r="M114" t="str">
            <v>R.TOPWN_SPL</v>
          </cell>
          <cell r="N114" t="str">
            <v>R.TOPWN_SPL0032</v>
          </cell>
          <cell r="O114" t="str">
            <v>PIQ0013NAVBEG</v>
          </cell>
          <cell r="P114" t="str">
            <v>R.TOPWN_SPL0032_PIQ0013NAVBEG</v>
          </cell>
        </row>
        <row r="115">
          <cell r="D115" t="str">
            <v>PINE VALLEY / PIQ0013NAVWHT</v>
          </cell>
          <cell r="E115" t="str">
            <v>X4</v>
          </cell>
          <cell r="F115" t="str">
            <v>S</v>
          </cell>
          <cell r="G115" t="str">
            <v>PIQUET</v>
          </cell>
          <cell r="H115" t="str">
            <v>0013</v>
          </cell>
          <cell r="I115" t="str">
            <v>NAVY</v>
          </cell>
          <cell r="J115" t="str">
            <v>WHITE</v>
          </cell>
          <cell r="L115" t="str">
            <v>PINE VALLEY</v>
          </cell>
          <cell r="M115" t="str">
            <v>R.TOPKB_CPL</v>
          </cell>
          <cell r="N115" t="str">
            <v>R.TOPKB_CPL0033</v>
          </cell>
          <cell r="O115" t="str">
            <v>PIQ0013NAVWHT</v>
          </cell>
          <cell r="P115" t="str">
            <v>R.TOPKB_CPL0033_PIQ0013NAVWHT</v>
          </cell>
        </row>
        <row r="116">
          <cell r="D116" t="str">
            <v>STAR / PIQ0014WHTWHT</v>
          </cell>
          <cell r="E116" t="str">
            <v>X4</v>
          </cell>
          <cell r="F116" t="str">
            <v>S</v>
          </cell>
          <cell r="G116" t="str">
            <v>PIQUET</v>
          </cell>
          <cell r="H116" t="str">
            <v>0014</v>
          </cell>
          <cell r="I116" t="str">
            <v>WHITE</v>
          </cell>
          <cell r="J116" t="str">
            <v>WHITE</v>
          </cell>
          <cell r="L116" t="str">
            <v>STAR</v>
          </cell>
          <cell r="M116" t="str">
            <v>R.TOPKG_CPL</v>
          </cell>
          <cell r="N116" t="str">
            <v>R.TOPKG_CPL0034</v>
          </cell>
          <cell r="O116" t="str">
            <v>PIQ0014WHTWHT</v>
          </cell>
          <cell r="P116" t="str">
            <v>R.TOPKG_CPL0034_PIQ0014WHTWHT</v>
          </cell>
        </row>
        <row r="117">
          <cell r="D117" t="str">
            <v>STAR / PIQ0014LILLIL</v>
          </cell>
          <cell r="E117" t="str">
            <v>X4</v>
          </cell>
          <cell r="F117" t="str">
            <v>S</v>
          </cell>
          <cell r="G117" t="str">
            <v>PIQUET</v>
          </cell>
          <cell r="H117" t="str">
            <v>0014</v>
          </cell>
          <cell r="I117" t="str">
            <v>LILAC</v>
          </cell>
          <cell r="J117" t="str">
            <v>LILAC</v>
          </cell>
          <cell r="L117" t="str">
            <v>STAR</v>
          </cell>
          <cell r="M117" t="str">
            <v>R.TOPKG_CPL</v>
          </cell>
          <cell r="N117" t="str">
            <v>R.TOPKG_CPL0034</v>
          </cell>
          <cell r="O117" t="str">
            <v>PIQ0014LILLIL</v>
          </cell>
          <cell r="P117" t="str">
            <v>R.TOPKG_CPL0034_PIQ0014LILLIL</v>
          </cell>
        </row>
        <row r="118">
          <cell r="D118" t="str">
            <v>STAR / PIQ0014PNKPNK</v>
          </cell>
          <cell r="E118" t="str">
            <v>X4</v>
          </cell>
          <cell r="F118" t="str">
            <v>S</v>
          </cell>
          <cell r="G118" t="str">
            <v>PIQUET</v>
          </cell>
          <cell r="H118" t="str">
            <v>0014</v>
          </cell>
          <cell r="I118" t="str">
            <v>PINK</v>
          </cell>
          <cell r="J118" t="str">
            <v>PINK</v>
          </cell>
          <cell r="L118" t="str">
            <v>STAR</v>
          </cell>
          <cell r="M118" t="str">
            <v>R.TOPKG_CPL</v>
          </cell>
          <cell r="N118" t="str">
            <v>R.TOPKG_CPL0034</v>
          </cell>
          <cell r="O118" t="str">
            <v>PIQ0014PNKPNK</v>
          </cell>
          <cell r="P118" t="str">
            <v>R.TOPKG_CPL0034_PIQ0014PNKPNK</v>
          </cell>
        </row>
        <row r="119">
          <cell r="D119" t="str">
            <v>PAOLO / PIQ0015WHTWHT</v>
          </cell>
          <cell r="E119" t="str">
            <v>X4</v>
          </cell>
          <cell r="F119" t="str">
            <v>W</v>
          </cell>
          <cell r="G119" t="str">
            <v>PIQUET</v>
          </cell>
          <cell r="H119" t="str">
            <v>0015</v>
          </cell>
          <cell r="I119" t="str">
            <v>WHITE</v>
          </cell>
          <cell r="J119" t="str">
            <v>WHITE</v>
          </cell>
          <cell r="L119" t="str">
            <v>PAOLO</v>
          </cell>
          <cell r="M119" t="str">
            <v>R.TOPMN_CPL</v>
          </cell>
          <cell r="N119" t="str">
            <v>R.TOPMN_CPL0035</v>
          </cell>
          <cell r="O119" t="str">
            <v>PIQ0015WHTWHT</v>
          </cell>
          <cell r="P119" t="str">
            <v>R.TOPMN_CPL0035_PIQ0015WHTWHT</v>
          </cell>
        </row>
        <row r="120">
          <cell r="D120" t="str">
            <v>PAOLO / PIQ0015WHTNAV</v>
          </cell>
          <cell r="E120" t="str">
            <v>X4</v>
          </cell>
          <cell r="F120" t="str">
            <v>W</v>
          </cell>
          <cell r="G120" t="str">
            <v>PIQUET</v>
          </cell>
          <cell r="H120" t="str">
            <v>0015</v>
          </cell>
          <cell r="I120" t="str">
            <v>WHITE</v>
          </cell>
          <cell r="J120" t="str">
            <v>NAVY</v>
          </cell>
          <cell r="L120" t="str">
            <v>PAOLO</v>
          </cell>
          <cell r="M120" t="str">
            <v>R.TOPMN_CPL</v>
          </cell>
          <cell r="N120" t="str">
            <v>R.TOPMN_CPL0035</v>
          </cell>
          <cell r="O120" t="str">
            <v>PIQ0015WHTNAV</v>
          </cell>
          <cell r="P120" t="str">
            <v>R.TOPMN_CPL0035_PIQ0015WHTNAV</v>
          </cell>
        </row>
        <row r="121">
          <cell r="D121" t="str">
            <v>PAOLO / PIQ0015NAVWHT</v>
          </cell>
          <cell r="E121" t="str">
            <v>X4</v>
          </cell>
          <cell r="F121" t="str">
            <v>W</v>
          </cell>
          <cell r="G121" t="str">
            <v>PIQUET</v>
          </cell>
          <cell r="H121" t="str">
            <v>0015</v>
          </cell>
          <cell r="I121" t="str">
            <v>NAVY</v>
          </cell>
          <cell r="J121" t="str">
            <v>WHITE</v>
          </cell>
          <cell r="L121" t="str">
            <v>PAOLO</v>
          </cell>
          <cell r="M121" t="str">
            <v>R.TOPMN_CPL</v>
          </cell>
          <cell r="N121" t="str">
            <v>R.TOPMN_CPL0035</v>
          </cell>
          <cell r="O121" t="str">
            <v>PIQ0015NAVWHT</v>
          </cell>
          <cell r="P121" t="str">
            <v>R.TOPMN_CPL0035_PIQ0015NAVWHT</v>
          </cell>
        </row>
        <row r="122">
          <cell r="D122" t="str">
            <v>PAOLA / PIQ0015WHTWHT</v>
          </cell>
          <cell r="E122" t="str">
            <v>X4</v>
          </cell>
          <cell r="F122" t="str">
            <v>W</v>
          </cell>
          <cell r="G122" t="str">
            <v>PIQUET</v>
          </cell>
          <cell r="H122" t="str">
            <v>0015</v>
          </cell>
          <cell r="I122" t="str">
            <v>WHITE</v>
          </cell>
          <cell r="J122" t="str">
            <v>WHITE</v>
          </cell>
          <cell r="L122" t="str">
            <v>PAOLA</v>
          </cell>
          <cell r="M122" t="str">
            <v>R.TOPWN_CPL</v>
          </cell>
          <cell r="N122" t="str">
            <v>R.TOPWN_CPL0036</v>
          </cell>
          <cell r="O122" t="str">
            <v>PIQ0015WHTWHT</v>
          </cell>
          <cell r="P122" t="str">
            <v>R.TOPWN_CPL0036_PIQ0015WHTWHT</v>
          </cell>
        </row>
        <row r="123">
          <cell r="D123" t="str">
            <v>PAOLA / PIQ0015WHTNAV</v>
          </cell>
          <cell r="E123" t="str">
            <v>X4</v>
          </cell>
          <cell r="F123" t="str">
            <v>W</v>
          </cell>
          <cell r="G123" t="str">
            <v>PIQUET</v>
          </cell>
          <cell r="H123" t="str">
            <v>0015</v>
          </cell>
          <cell r="I123" t="str">
            <v>WHITE</v>
          </cell>
          <cell r="J123" t="str">
            <v>NAVY</v>
          </cell>
          <cell r="L123" t="str">
            <v>PAOLA</v>
          </cell>
          <cell r="M123" t="str">
            <v>R.TOPWN_CPL</v>
          </cell>
          <cell r="N123" t="str">
            <v>R.TOPWN_CPL0036</v>
          </cell>
          <cell r="O123" t="str">
            <v>PIQ0015WHTNAV</v>
          </cell>
          <cell r="P123" t="str">
            <v>R.TOPWN_CPL0036_PIQ0015WHTNAV</v>
          </cell>
        </row>
        <row r="124">
          <cell r="D124" t="str">
            <v>PAOLA / PIQ0015NAVWHT</v>
          </cell>
          <cell r="E124" t="str">
            <v>X4</v>
          </cell>
          <cell r="F124" t="str">
            <v>W</v>
          </cell>
          <cell r="G124" t="str">
            <v>PIQUET</v>
          </cell>
          <cell r="H124" t="str">
            <v>0015</v>
          </cell>
          <cell r="I124" t="str">
            <v>NAVY</v>
          </cell>
          <cell r="J124" t="str">
            <v>WHITE</v>
          </cell>
          <cell r="L124" t="str">
            <v>PAOLA</v>
          </cell>
          <cell r="M124" t="str">
            <v>R.TOPWN_CPL</v>
          </cell>
          <cell r="N124" t="str">
            <v>R.TOPWN_CPL0036</v>
          </cell>
          <cell r="O124" t="str">
            <v>PIQ0015NAVWHT</v>
          </cell>
          <cell r="P124" t="str">
            <v>R.TOPWN_CPL0036_PIQ0015NAVWHT</v>
          </cell>
        </row>
        <row r="125">
          <cell r="D125" t="str">
            <v>PAOLA / SUP0017BORBOR</v>
          </cell>
          <cell r="E125" t="str">
            <v>X4</v>
          </cell>
          <cell r="F125" t="str">
            <v>W</v>
          </cell>
          <cell r="G125" t="str">
            <v>SUPREME</v>
          </cell>
          <cell r="H125" t="str">
            <v>0017</v>
          </cell>
          <cell r="I125" t="str">
            <v>BORDEAUX</v>
          </cell>
          <cell r="J125" t="str">
            <v>BORDEAUX</v>
          </cell>
          <cell r="L125" t="str">
            <v>PAOLA</v>
          </cell>
          <cell r="M125" t="str">
            <v>R.TOPWN_CPL</v>
          </cell>
          <cell r="N125" t="str">
            <v>R.TOPWN_CPL0036</v>
          </cell>
          <cell r="O125" t="str">
            <v>SUP0017BORBOR</v>
          </cell>
          <cell r="P125" t="str">
            <v>R.TOPWN_CPL0036_SUP0017BORBOR</v>
          </cell>
        </row>
        <row r="126">
          <cell r="D126" t="str">
            <v>PAOLO-JR / PIQ0015WHTWHT</v>
          </cell>
          <cell r="E126" t="str">
            <v>X4</v>
          </cell>
          <cell r="F126" t="str">
            <v>W</v>
          </cell>
          <cell r="G126" t="str">
            <v>PIQUET</v>
          </cell>
          <cell r="H126" t="str">
            <v>0015</v>
          </cell>
          <cell r="I126" t="str">
            <v>WHITE</v>
          </cell>
          <cell r="J126" t="str">
            <v>WHITE</v>
          </cell>
          <cell r="L126" t="str">
            <v>PAOLO-JR</v>
          </cell>
          <cell r="M126" t="str">
            <v>R.TOPKB_CPL</v>
          </cell>
          <cell r="N126" t="str">
            <v>R.TOPKB_CPL0037</v>
          </cell>
          <cell r="O126" t="str">
            <v>PIQ0015WHTWHT</v>
          </cell>
          <cell r="P126" t="str">
            <v>R.TOPKB_CPL0037_PIQ0015WHTWHT</v>
          </cell>
        </row>
        <row r="127">
          <cell r="D127" t="str">
            <v>PAOLO-JR / PIQ0015WHTNAV</v>
          </cell>
          <cell r="E127" t="str">
            <v>X4</v>
          </cell>
          <cell r="F127" t="str">
            <v>W</v>
          </cell>
          <cell r="G127" t="str">
            <v>PIQUET</v>
          </cell>
          <cell r="H127" t="str">
            <v>0015</v>
          </cell>
          <cell r="I127" t="str">
            <v>WHITE</v>
          </cell>
          <cell r="J127" t="str">
            <v>NAVY</v>
          </cell>
          <cell r="L127" t="str">
            <v>PAOLO-JR</v>
          </cell>
          <cell r="M127" t="str">
            <v>R.TOPKB_CPL</v>
          </cell>
          <cell r="N127" t="str">
            <v>R.TOPKB_CPL0037</v>
          </cell>
          <cell r="O127" t="str">
            <v>PIQ0015WHTNAV</v>
          </cell>
          <cell r="P127" t="str">
            <v>R.TOPKB_CPL0037_PIQ0015WHTNAV</v>
          </cell>
        </row>
        <row r="128">
          <cell r="D128" t="str">
            <v>PAOLO-JR / PIQ0015NAVWHT</v>
          </cell>
          <cell r="E128" t="str">
            <v>X4</v>
          </cell>
          <cell r="F128" t="str">
            <v>W</v>
          </cell>
          <cell r="G128" t="str">
            <v>PIQUET</v>
          </cell>
          <cell r="H128" t="str">
            <v>0015</v>
          </cell>
          <cell r="I128" t="str">
            <v>NAVY</v>
          </cell>
          <cell r="J128" t="str">
            <v>WHITE</v>
          </cell>
          <cell r="L128" t="str">
            <v>PAOLO-JR</v>
          </cell>
          <cell r="M128" t="str">
            <v>R.TOPKB_CPL</v>
          </cell>
          <cell r="N128" t="str">
            <v>R.TOPKB_CPL0037</v>
          </cell>
          <cell r="O128" t="str">
            <v>PIQ0015NAVWHT</v>
          </cell>
          <cell r="P128" t="str">
            <v>R.TOPKB_CPL0037_PIQ0015NAVWHT</v>
          </cell>
        </row>
        <row r="129">
          <cell r="D129" t="str">
            <v>PAOLA-JR / PIQ0015WHTWHT</v>
          </cell>
          <cell r="E129" t="str">
            <v>X4</v>
          </cell>
          <cell r="F129" t="str">
            <v>W</v>
          </cell>
          <cell r="G129" t="str">
            <v>PIQUET</v>
          </cell>
          <cell r="H129" t="str">
            <v>0015</v>
          </cell>
          <cell r="I129" t="str">
            <v>WHITE</v>
          </cell>
          <cell r="J129" t="str">
            <v>WHITE</v>
          </cell>
          <cell r="L129" t="str">
            <v>PAOLA-JR</v>
          </cell>
          <cell r="M129" t="str">
            <v>R.TOPKG_CPL</v>
          </cell>
          <cell r="N129" t="str">
            <v>R.TOPKG_CPL0038</v>
          </cell>
          <cell r="O129" t="str">
            <v>PIQ0015WHTWHT</v>
          </cell>
          <cell r="P129" t="str">
            <v>R.TOPKG_CPL0038_PIQ0015WHTWHT</v>
          </cell>
        </row>
        <row r="130">
          <cell r="D130" t="str">
            <v>PAOLA-JR / PIQ0015WHTNAV</v>
          </cell>
          <cell r="E130" t="str">
            <v>X4</v>
          </cell>
          <cell r="F130" t="str">
            <v>W</v>
          </cell>
          <cell r="G130" t="str">
            <v>PIQUET</v>
          </cell>
          <cell r="H130" t="str">
            <v>0015</v>
          </cell>
          <cell r="I130" t="str">
            <v>WHITE</v>
          </cell>
          <cell r="J130" t="str">
            <v>NAVY</v>
          </cell>
          <cell r="L130" t="str">
            <v>PAOLA-JR</v>
          </cell>
          <cell r="M130" t="str">
            <v>R.TOPKG_CPL</v>
          </cell>
          <cell r="N130" t="str">
            <v>R.TOPKG_CPL0038</v>
          </cell>
          <cell r="O130" t="str">
            <v>PIQ0015WHTNAV</v>
          </cell>
          <cell r="P130" t="str">
            <v>R.TOPKG_CPL0038_PIQ0015WHTNAV</v>
          </cell>
        </row>
        <row r="131">
          <cell r="D131" t="str">
            <v>PAOLA-JR / PIQ0015NAVWHT</v>
          </cell>
          <cell r="E131" t="str">
            <v>X4</v>
          </cell>
          <cell r="F131" t="str">
            <v>W</v>
          </cell>
          <cell r="G131" t="str">
            <v>PIQUET</v>
          </cell>
          <cell r="H131" t="str">
            <v>0015</v>
          </cell>
          <cell r="I131" t="str">
            <v>NAVY</v>
          </cell>
          <cell r="J131" t="str">
            <v>WHITE</v>
          </cell>
          <cell r="L131" t="str">
            <v>PAOLA-JR</v>
          </cell>
          <cell r="M131" t="str">
            <v>R.TOPKG_CPL</v>
          </cell>
          <cell r="N131" t="str">
            <v>R.TOPKG_CPL0038</v>
          </cell>
          <cell r="O131" t="str">
            <v>PIQ0015NAVWHT</v>
          </cell>
          <cell r="P131" t="str">
            <v>R.TOPKG_CPL0038_PIQ0015NAVWHT</v>
          </cell>
        </row>
        <row r="132">
          <cell r="D132" t="str">
            <v>PAOLA-JR / SUP0017BORBOR</v>
          </cell>
          <cell r="E132" t="str">
            <v>X4</v>
          </cell>
          <cell r="F132" t="str">
            <v>W</v>
          </cell>
          <cell r="G132" t="str">
            <v>SUPREME</v>
          </cell>
          <cell r="H132" t="str">
            <v>0017</v>
          </cell>
          <cell r="I132" t="str">
            <v>BORDEAUX</v>
          </cell>
          <cell r="J132" t="str">
            <v>BORDEAUX</v>
          </cell>
          <cell r="L132" t="str">
            <v>PAOLA-JR</v>
          </cell>
          <cell r="M132" t="str">
            <v>R.TOPKG_CPL</v>
          </cell>
          <cell r="N132" t="str">
            <v>R.TOPKG_CPL0038</v>
          </cell>
          <cell r="O132" t="str">
            <v>SUP0017BORBOR</v>
          </cell>
          <cell r="P132" t="str">
            <v>R.TOPKG_CPL0038_SUP0017BORBOR</v>
          </cell>
        </row>
        <row r="133">
          <cell r="D133" t="str">
            <v>ENZO / PIQ0015WHTWHT</v>
          </cell>
          <cell r="E133" t="str">
            <v>X4</v>
          </cell>
          <cell r="F133" t="str">
            <v>S</v>
          </cell>
          <cell r="G133" t="str">
            <v>PIQUET</v>
          </cell>
          <cell r="H133" t="str">
            <v>0015</v>
          </cell>
          <cell r="I133" t="str">
            <v>WHITE</v>
          </cell>
          <cell r="J133" t="str">
            <v>WHITE</v>
          </cell>
          <cell r="L133" t="str">
            <v>ENZO</v>
          </cell>
          <cell r="M133" t="str">
            <v>R.TOPMN_CPL</v>
          </cell>
          <cell r="N133" t="str">
            <v>R.TOPMN_CPL0039</v>
          </cell>
          <cell r="O133" t="str">
            <v>PIQ0015WHTWHT</v>
          </cell>
          <cell r="P133" t="str">
            <v>R.TOPMN_CPL0039_PIQ0015WHTWHT</v>
          </cell>
        </row>
        <row r="134">
          <cell r="D134" t="str">
            <v>ENZO / PIQ0015WHTNAV</v>
          </cell>
          <cell r="E134" t="str">
            <v>X4</v>
          </cell>
          <cell r="F134" t="str">
            <v>S</v>
          </cell>
          <cell r="G134" t="str">
            <v>PIQUET</v>
          </cell>
          <cell r="H134" t="str">
            <v>0015</v>
          </cell>
          <cell r="I134" t="str">
            <v>WHITE</v>
          </cell>
          <cell r="J134" t="str">
            <v>NAVY</v>
          </cell>
          <cell r="L134" t="str">
            <v>ENZO</v>
          </cell>
          <cell r="M134" t="str">
            <v>R.TOPMN_CPL</v>
          </cell>
          <cell r="N134" t="str">
            <v>R.TOPMN_CPL0039</v>
          </cell>
          <cell r="O134" t="str">
            <v>PIQ0015WHTNAV</v>
          </cell>
          <cell r="P134" t="str">
            <v>R.TOPMN_CPL0039_PIQ0015WHTNAV</v>
          </cell>
        </row>
        <row r="135">
          <cell r="D135" t="str">
            <v>ENZO / PIQ0015NAVWHT</v>
          </cell>
          <cell r="E135" t="str">
            <v>X4</v>
          </cell>
          <cell r="F135" t="str">
            <v>S</v>
          </cell>
          <cell r="G135" t="str">
            <v>PIQUET</v>
          </cell>
          <cell r="H135" t="str">
            <v>0015</v>
          </cell>
          <cell r="I135" t="str">
            <v>NAVY</v>
          </cell>
          <cell r="J135" t="str">
            <v>WHITE</v>
          </cell>
          <cell r="L135" t="str">
            <v>ENZO</v>
          </cell>
          <cell r="M135" t="str">
            <v>R.TOPMN_CPL</v>
          </cell>
          <cell r="N135" t="str">
            <v>R.TOPMN_CPL0039</v>
          </cell>
          <cell r="O135" t="str">
            <v>PIQ0015NAVWHT</v>
          </cell>
          <cell r="P135" t="str">
            <v>R.TOPMN_CPL0039_PIQ0015NAVWHT</v>
          </cell>
        </row>
        <row r="136">
          <cell r="D136" t="str">
            <v>ENZA / PIQ0015WHTWHT</v>
          </cell>
          <cell r="E136" t="str">
            <v>X4</v>
          </cell>
          <cell r="F136" t="str">
            <v>S</v>
          </cell>
          <cell r="G136" t="str">
            <v>PIQUET</v>
          </cell>
          <cell r="H136" t="str">
            <v>0015</v>
          </cell>
          <cell r="I136" t="str">
            <v>WHITE</v>
          </cell>
          <cell r="J136" t="str">
            <v>WHITE</v>
          </cell>
          <cell r="L136" t="str">
            <v>ENZA</v>
          </cell>
          <cell r="M136" t="str">
            <v>R.TOPWN_CPL</v>
          </cell>
          <cell r="N136" t="str">
            <v>R.TOPWN_CPL0040</v>
          </cell>
          <cell r="O136" t="str">
            <v>PIQ0015WHTWHT</v>
          </cell>
          <cell r="P136" t="str">
            <v>R.TOPWN_CPL0040_PIQ0015WHTWHT</v>
          </cell>
        </row>
        <row r="137">
          <cell r="D137" t="str">
            <v>ENZA / PIQ0015WHTNAV</v>
          </cell>
          <cell r="E137" t="str">
            <v>X4</v>
          </cell>
          <cell r="F137" t="str">
            <v>S</v>
          </cell>
          <cell r="G137" t="str">
            <v>PIQUET</v>
          </cell>
          <cell r="H137" t="str">
            <v>0015</v>
          </cell>
          <cell r="I137" t="str">
            <v>WHITE</v>
          </cell>
          <cell r="J137" t="str">
            <v>NAVY</v>
          </cell>
          <cell r="L137" t="str">
            <v>ENZA</v>
          </cell>
          <cell r="M137" t="str">
            <v>R.TOPWN_CPL</v>
          </cell>
          <cell r="N137" t="str">
            <v>R.TOPWN_CPL0040</v>
          </cell>
          <cell r="O137" t="str">
            <v>PIQ0015WHTNAV</v>
          </cell>
          <cell r="P137" t="str">
            <v>R.TOPWN_CPL0040_PIQ0015WHTNAV</v>
          </cell>
        </row>
        <row r="138">
          <cell r="D138" t="str">
            <v>ENZA / PIQ0015NAVWHT</v>
          </cell>
          <cell r="E138" t="str">
            <v>X4</v>
          </cell>
          <cell r="F138" t="str">
            <v>S</v>
          </cell>
          <cell r="G138" t="str">
            <v>PIQUET</v>
          </cell>
          <cell r="H138" t="str">
            <v>0015</v>
          </cell>
          <cell r="I138" t="str">
            <v>NAVY</v>
          </cell>
          <cell r="J138" t="str">
            <v>WHITE</v>
          </cell>
          <cell r="L138" t="str">
            <v>ENZA</v>
          </cell>
          <cell r="M138" t="str">
            <v>R.TOPWN_CPL</v>
          </cell>
          <cell r="N138" t="str">
            <v>R.TOPWN_CPL0040</v>
          </cell>
          <cell r="O138" t="str">
            <v>PIQ0015NAVWHT</v>
          </cell>
          <cell r="P138" t="str">
            <v>R.TOPWN_CPL0040_PIQ0015NAVWHT</v>
          </cell>
        </row>
        <row r="139">
          <cell r="D139" t="str">
            <v>ENZO-JR / PIQ0015WHTWHT</v>
          </cell>
          <cell r="E139" t="str">
            <v>X4</v>
          </cell>
          <cell r="F139" t="str">
            <v>S</v>
          </cell>
          <cell r="G139" t="str">
            <v>PIQUET</v>
          </cell>
          <cell r="H139" t="str">
            <v>0015</v>
          </cell>
          <cell r="I139" t="str">
            <v>WHITE</v>
          </cell>
          <cell r="J139" t="str">
            <v>WHITE</v>
          </cell>
          <cell r="L139" t="str">
            <v>ENZO-JR</v>
          </cell>
          <cell r="M139" t="str">
            <v>R.TOPKB_CPL</v>
          </cell>
          <cell r="N139" t="str">
            <v>R.TOPKB_CPL0041</v>
          </cell>
          <cell r="O139" t="str">
            <v>PIQ0015WHTWHT</v>
          </cell>
          <cell r="P139" t="str">
            <v>R.TOPKB_CPL0041_PIQ0015WHTWHT</v>
          </cell>
        </row>
        <row r="140">
          <cell r="D140" t="str">
            <v>ENZO-JR / PIQ0015WHTNAV</v>
          </cell>
          <cell r="E140" t="str">
            <v>X4</v>
          </cell>
          <cell r="F140" t="str">
            <v>S</v>
          </cell>
          <cell r="G140" t="str">
            <v>PIQUET</v>
          </cell>
          <cell r="H140" t="str">
            <v>0015</v>
          </cell>
          <cell r="I140" t="str">
            <v>WHITE</v>
          </cell>
          <cell r="J140" t="str">
            <v>NAVY</v>
          </cell>
          <cell r="L140" t="str">
            <v>ENZO-JR</v>
          </cell>
          <cell r="M140" t="str">
            <v>R.TOPKB_CPL</v>
          </cell>
          <cell r="N140" t="str">
            <v>R.TOPKB_CPL0041</v>
          </cell>
          <cell r="O140" t="str">
            <v>PIQ0015WHTNAV</v>
          </cell>
          <cell r="P140" t="str">
            <v>R.TOPKB_CPL0041_PIQ0015WHTNAV</v>
          </cell>
        </row>
        <row r="141">
          <cell r="D141" t="str">
            <v>ENZO-JR / PIQ0015NAVWHT</v>
          </cell>
          <cell r="E141" t="str">
            <v>X4</v>
          </cell>
          <cell r="F141" t="str">
            <v>S</v>
          </cell>
          <cell r="G141" t="str">
            <v>PIQUET</v>
          </cell>
          <cell r="H141" t="str">
            <v>0015</v>
          </cell>
          <cell r="I141" t="str">
            <v>NAVY</v>
          </cell>
          <cell r="J141" t="str">
            <v>WHITE</v>
          </cell>
          <cell r="L141" t="str">
            <v>ENZO-JR</v>
          </cell>
          <cell r="M141" t="str">
            <v>R.TOPKB_CPL</v>
          </cell>
          <cell r="N141" t="str">
            <v>R.TOPKB_CPL0041</v>
          </cell>
          <cell r="O141" t="str">
            <v>PIQ0015NAVWHT</v>
          </cell>
          <cell r="P141" t="str">
            <v>R.TOPKB_CPL0041_PIQ0015NAVWHT</v>
          </cell>
        </row>
        <row r="142">
          <cell r="D142" t="str">
            <v>ENZA-JR / PIQ0015WHTWHT</v>
          </cell>
          <cell r="E142" t="str">
            <v>X4</v>
          </cell>
          <cell r="F142" t="str">
            <v>S</v>
          </cell>
          <cell r="G142" t="str">
            <v>PIQUET</v>
          </cell>
          <cell r="H142" t="str">
            <v>0015</v>
          </cell>
          <cell r="I142" t="str">
            <v>WHITE</v>
          </cell>
          <cell r="J142" t="str">
            <v>WHITE</v>
          </cell>
          <cell r="L142" t="str">
            <v>ENZA-JR</v>
          </cell>
          <cell r="M142" t="str">
            <v>R.TOPKG_CPL</v>
          </cell>
          <cell r="N142" t="str">
            <v>R.TOPKG_CPL0042</v>
          </cell>
          <cell r="O142" t="str">
            <v>PIQ0015WHTWHT</v>
          </cell>
          <cell r="P142" t="str">
            <v>R.TOPKG_CPL0042_PIQ0015WHTWHT</v>
          </cell>
        </row>
        <row r="143">
          <cell r="D143" t="str">
            <v>ENZA-JR / PIQ0015WHTNAV</v>
          </cell>
          <cell r="E143" t="str">
            <v>X4</v>
          </cell>
          <cell r="F143" t="str">
            <v>S</v>
          </cell>
          <cell r="G143" t="str">
            <v>PIQUET</v>
          </cell>
          <cell r="H143" t="str">
            <v>0015</v>
          </cell>
          <cell r="I143" t="str">
            <v>WHITE</v>
          </cell>
          <cell r="J143" t="str">
            <v>NAVY</v>
          </cell>
          <cell r="L143" t="str">
            <v>ENZA-JR</v>
          </cell>
          <cell r="M143" t="str">
            <v>R.TOPKG_CPL</v>
          </cell>
          <cell r="N143" t="str">
            <v>R.TOPKG_CPL0042</v>
          </cell>
          <cell r="O143" t="str">
            <v>PIQ0015WHTNAV</v>
          </cell>
          <cell r="P143" t="str">
            <v>R.TOPKG_CPL0042_PIQ0015WHTNAV</v>
          </cell>
        </row>
        <row r="144">
          <cell r="D144" t="str">
            <v>ENZA-JR / PIQ0015NAVWHT</v>
          </cell>
          <cell r="E144" t="str">
            <v>X4</v>
          </cell>
          <cell r="F144" t="str">
            <v>S</v>
          </cell>
          <cell r="G144" t="str">
            <v>PIQUET</v>
          </cell>
          <cell r="H144" t="str">
            <v>0015</v>
          </cell>
          <cell r="I144" t="str">
            <v>NAVY</v>
          </cell>
          <cell r="J144" t="str">
            <v>WHITE</v>
          </cell>
          <cell r="L144" t="str">
            <v>ENZA-JR</v>
          </cell>
          <cell r="M144" t="str">
            <v>R.TOPKG_CPL</v>
          </cell>
          <cell r="N144" t="str">
            <v>R.TOPKG_CPL0042</v>
          </cell>
          <cell r="O144" t="str">
            <v>PIQ0015NAVWHT</v>
          </cell>
          <cell r="P144" t="str">
            <v>R.TOPKG_CPL0042_PIQ0015NAVWHT</v>
          </cell>
        </row>
        <row r="145">
          <cell r="D145" t="str">
            <v>PRAGUE / PIQ0015WHTNAV</v>
          </cell>
          <cell r="E145" t="str">
            <v>X4</v>
          </cell>
          <cell r="F145" t="str">
            <v>W</v>
          </cell>
          <cell r="G145" t="str">
            <v>PIQUET</v>
          </cell>
          <cell r="H145" t="str">
            <v>0015</v>
          </cell>
          <cell r="I145" t="str">
            <v>WHITE</v>
          </cell>
          <cell r="J145" t="str">
            <v>NAVY</v>
          </cell>
          <cell r="L145" t="str">
            <v>PRAGUE</v>
          </cell>
          <cell r="M145" t="str">
            <v>R.TOPMN_CPL</v>
          </cell>
          <cell r="N145" t="str">
            <v>R.TOPMN_CPL0043</v>
          </cell>
          <cell r="O145" t="str">
            <v>PIQ0015WHTNAV</v>
          </cell>
          <cell r="P145" t="str">
            <v>R.TOPMN_CPL0043_PIQ0015WHTNAV</v>
          </cell>
        </row>
        <row r="146">
          <cell r="D146" t="str">
            <v>PRAGUE / PIQ0015NAVWHT</v>
          </cell>
          <cell r="E146" t="str">
            <v>X4</v>
          </cell>
          <cell r="F146" t="str">
            <v>W</v>
          </cell>
          <cell r="G146" t="str">
            <v>PIQUET</v>
          </cell>
          <cell r="H146" t="str">
            <v>0015</v>
          </cell>
          <cell r="I146" t="str">
            <v>NAVY</v>
          </cell>
          <cell r="J146" t="str">
            <v>WHITE</v>
          </cell>
          <cell r="L146" t="str">
            <v>PRAGUE</v>
          </cell>
          <cell r="M146" t="str">
            <v>R.TOPMN_CPL</v>
          </cell>
          <cell r="N146" t="str">
            <v>R.TOPMN_CPL0043</v>
          </cell>
          <cell r="O146" t="str">
            <v>PIQ0015NAVWHT</v>
          </cell>
          <cell r="P146" t="str">
            <v>R.TOPMN_CPL0043_PIQ0015NAVWHT</v>
          </cell>
        </row>
        <row r="147">
          <cell r="D147" t="str">
            <v>MIAMI / PIQ0015WHTNAV</v>
          </cell>
          <cell r="E147" t="str">
            <v>X4</v>
          </cell>
          <cell r="F147" t="str">
            <v>S</v>
          </cell>
          <cell r="G147" t="str">
            <v>PIQUET</v>
          </cell>
          <cell r="H147" t="str">
            <v>0015</v>
          </cell>
          <cell r="I147" t="str">
            <v>WHITE</v>
          </cell>
          <cell r="J147" t="str">
            <v>NAVY</v>
          </cell>
          <cell r="L147" t="str">
            <v>MIAMI</v>
          </cell>
          <cell r="M147" t="str">
            <v>R.TOPMN_CPL</v>
          </cell>
          <cell r="N147" t="str">
            <v>R.TOPMN_CPL0044</v>
          </cell>
          <cell r="O147" t="str">
            <v>PIQ0015WHTNAV</v>
          </cell>
          <cell r="P147" t="str">
            <v>R.TOPMN_CPL0044_PIQ0015WHTNAV</v>
          </cell>
        </row>
        <row r="148">
          <cell r="D148" t="str">
            <v>MIAMI / PIQ0015NAVWHT</v>
          </cell>
          <cell r="E148" t="str">
            <v>X4</v>
          </cell>
          <cell r="F148" t="str">
            <v>S</v>
          </cell>
          <cell r="G148" t="str">
            <v>PIQUET</v>
          </cell>
          <cell r="H148" t="str">
            <v>0015</v>
          </cell>
          <cell r="I148" t="str">
            <v>NAVY</v>
          </cell>
          <cell r="J148" t="str">
            <v>WHITE</v>
          </cell>
          <cell r="L148" t="str">
            <v>MIAMI</v>
          </cell>
          <cell r="M148" t="str">
            <v>R.TOPMN_CPL</v>
          </cell>
          <cell r="N148" t="str">
            <v>R.TOPMN_CPL0044</v>
          </cell>
          <cell r="O148" t="str">
            <v>PIQ0015NAVWHT</v>
          </cell>
          <cell r="P148" t="str">
            <v>R.TOPMN_CPL0044_PIQ0015NAVWHT</v>
          </cell>
        </row>
        <row r="149">
          <cell r="D149" t="str">
            <v>PRAGUE-JR / PIQ0015WHTNAV</v>
          </cell>
          <cell r="E149" t="str">
            <v>X4</v>
          </cell>
          <cell r="F149" t="str">
            <v>W</v>
          </cell>
          <cell r="G149" t="str">
            <v>PIQUET</v>
          </cell>
          <cell r="H149" t="str">
            <v>0015</v>
          </cell>
          <cell r="I149" t="str">
            <v>WHITE</v>
          </cell>
          <cell r="J149" t="str">
            <v>NAVY</v>
          </cell>
          <cell r="L149" t="str">
            <v>PRAGUE-JR</v>
          </cell>
          <cell r="M149" t="str">
            <v>R.TOPKB_CPL</v>
          </cell>
          <cell r="N149" t="str">
            <v>R.TOPKB_CPL0045</v>
          </cell>
          <cell r="O149" t="str">
            <v>PIQ0015WHTNAV</v>
          </cell>
          <cell r="P149" t="str">
            <v>R.TOPKB_CPL0045_PIQ0015WHTNAV</v>
          </cell>
        </row>
        <row r="150">
          <cell r="D150" t="str">
            <v>PRAGUE-JR / PIQ0015NAVWHT</v>
          </cell>
          <cell r="E150" t="str">
            <v>X4</v>
          </cell>
          <cell r="F150" t="str">
            <v>W</v>
          </cell>
          <cell r="G150" t="str">
            <v>PIQUET</v>
          </cell>
          <cell r="H150" t="str">
            <v>0015</v>
          </cell>
          <cell r="I150" t="str">
            <v>NAVY</v>
          </cell>
          <cell r="J150" t="str">
            <v>WHITE</v>
          </cell>
          <cell r="L150" t="str">
            <v>PRAGUE-JR</v>
          </cell>
          <cell r="M150" t="str">
            <v>R.TOPKB_CPL</v>
          </cell>
          <cell r="N150" t="str">
            <v>R.TOPKB_CPL0045</v>
          </cell>
          <cell r="O150" t="str">
            <v>PIQ0015NAVWHT</v>
          </cell>
          <cell r="P150" t="str">
            <v>R.TOPKB_CPL0045_PIQ0015NAVWHT</v>
          </cell>
        </row>
        <row r="151">
          <cell r="D151" t="str">
            <v>MIAMI-JR / PIQ0015WHTNAV</v>
          </cell>
          <cell r="E151" t="str">
            <v>X4</v>
          </cell>
          <cell r="F151" t="str">
            <v>S</v>
          </cell>
          <cell r="G151" t="str">
            <v>PIQUET</v>
          </cell>
          <cell r="H151" t="str">
            <v>0015</v>
          </cell>
          <cell r="I151" t="str">
            <v>WHITE</v>
          </cell>
          <cell r="J151" t="str">
            <v>NAVY</v>
          </cell>
          <cell r="L151" t="str">
            <v>MIAMI-JR</v>
          </cell>
          <cell r="M151" t="str">
            <v>R.TOPKB_CPL</v>
          </cell>
          <cell r="N151" t="str">
            <v>R.TOPKB_CPL0046</v>
          </cell>
          <cell r="O151" t="str">
            <v>PIQ0015WHTNAV</v>
          </cell>
          <cell r="P151" t="str">
            <v>R.TOPKB_CPL0046_PIQ0015WHTNAV</v>
          </cell>
        </row>
        <row r="152">
          <cell r="D152" t="str">
            <v>MIAMI-JR / PIQ0015NAVWHT</v>
          </cell>
          <cell r="E152" t="str">
            <v>X4</v>
          </cell>
          <cell r="F152" t="str">
            <v>S</v>
          </cell>
          <cell r="G152" t="str">
            <v>PIQUET</v>
          </cell>
          <cell r="H152" t="str">
            <v>0015</v>
          </cell>
          <cell r="I152" t="str">
            <v>NAVY</v>
          </cell>
          <cell r="J152" t="str">
            <v>WHITE</v>
          </cell>
          <cell r="L152" t="str">
            <v>MIAMI-JR</v>
          </cell>
          <cell r="M152" t="str">
            <v>R.TOPKB_CPL</v>
          </cell>
          <cell r="N152" t="str">
            <v>R.TOPKB_CPL0046</v>
          </cell>
          <cell r="O152" t="str">
            <v>PIQ0015NAVWHT</v>
          </cell>
          <cell r="P152" t="str">
            <v>R.TOPKB_CPL0046_PIQ0015NAVWHT</v>
          </cell>
        </row>
        <row r="153">
          <cell r="D153" t="str">
            <v>MARCELA / SUP0016MNKWHT</v>
          </cell>
          <cell r="E153" t="str">
            <v>X4</v>
          </cell>
          <cell r="F153" t="str">
            <v>A</v>
          </cell>
          <cell r="G153" t="str">
            <v>SUPREME</v>
          </cell>
          <cell r="H153" t="str">
            <v>0016</v>
          </cell>
          <cell r="I153" t="str">
            <v>MINK</v>
          </cell>
          <cell r="J153" t="str">
            <v>WHITE</v>
          </cell>
          <cell r="L153" t="str">
            <v>MARCELA</v>
          </cell>
          <cell r="M153" t="str">
            <v>R.TOPWN_CPS</v>
          </cell>
          <cell r="N153" t="str">
            <v>R.TOPWN_CPS0047</v>
          </cell>
          <cell r="O153" t="str">
            <v>SUP0016MNKWHT</v>
          </cell>
          <cell r="P153" t="str">
            <v>R.TOPWN_CPS0047_SUP0016MNKWHT</v>
          </cell>
        </row>
        <row r="154">
          <cell r="D154" t="str">
            <v>ASPEN / SUP0017LILLIL</v>
          </cell>
          <cell r="E154" t="str">
            <v>X4</v>
          </cell>
          <cell r="F154" t="str">
            <v>W</v>
          </cell>
          <cell r="G154" t="str">
            <v>SUPREME</v>
          </cell>
          <cell r="H154" t="str">
            <v>0017</v>
          </cell>
          <cell r="I154" t="str">
            <v>LILAC</v>
          </cell>
          <cell r="J154" t="str">
            <v>LILAC</v>
          </cell>
          <cell r="L154" t="str">
            <v>ASPEN</v>
          </cell>
          <cell r="M154" t="str">
            <v>R.TOPWN_BLY</v>
          </cell>
          <cell r="N154" t="str">
            <v>R.TOPWN_BLY0048</v>
          </cell>
          <cell r="O154" t="str">
            <v>SUP0017LILLIL</v>
          </cell>
          <cell r="P154" t="str">
            <v>R.TOPWN_BLY0048_SUP0017LILLIL</v>
          </cell>
        </row>
        <row r="155">
          <cell r="D155" t="str">
            <v>ASPEN / SUP0017NAVNAV</v>
          </cell>
          <cell r="E155" t="str">
            <v>X4</v>
          </cell>
          <cell r="F155" t="str">
            <v>W</v>
          </cell>
          <cell r="G155" t="str">
            <v>SUPREME</v>
          </cell>
          <cell r="H155" t="str">
            <v>0017</v>
          </cell>
          <cell r="I155" t="str">
            <v>NAVY</v>
          </cell>
          <cell r="J155" t="str">
            <v>NAVY</v>
          </cell>
          <cell r="L155" t="str">
            <v>ASPEN</v>
          </cell>
          <cell r="M155" t="str">
            <v>R.TOPWN_BLY</v>
          </cell>
          <cell r="N155" t="str">
            <v>R.TOPWN_BLY0048</v>
          </cell>
          <cell r="O155" t="str">
            <v>SUP0017NAVNAV</v>
          </cell>
          <cell r="P155" t="str">
            <v>R.TOPWN_BLY0048_SUP0017NAVNAV</v>
          </cell>
        </row>
        <row r="156">
          <cell r="D156" t="str">
            <v>ASPEN / SUP0017BLKBLK</v>
          </cell>
          <cell r="E156" t="str">
            <v>X4</v>
          </cell>
          <cell r="F156" t="str">
            <v>W</v>
          </cell>
          <cell r="G156" t="str">
            <v>SUPREME</v>
          </cell>
          <cell r="H156" t="str">
            <v>0017</v>
          </cell>
          <cell r="I156" t="str">
            <v>BLACK</v>
          </cell>
          <cell r="J156" t="str">
            <v>BLACK</v>
          </cell>
          <cell r="L156" t="str">
            <v>ASPEN</v>
          </cell>
          <cell r="M156" t="str">
            <v>R.TOPWN_BLY</v>
          </cell>
          <cell r="N156" t="str">
            <v>R.TOPWN_BLY0048</v>
          </cell>
          <cell r="O156" t="str">
            <v>SUP0017BLKBLK</v>
          </cell>
          <cell r="P156" t="str">
            <v>R.TOPWN_BLY0048_SUP0017BLKBLK</v>
          </cell>
        </row>
        <row r="157">
          <cell r="D157" t="str">
            <v>ASPEN / SUP0017BEGBEG</v>
          </cell>
          <cell r="E157" t="str">
            <v>X4</v>
          </cell>
          <cell r="F157" t="str">
            <v>W</v>
          </cell>
          <cell r="G157" t="str">
            <v>SUPREME</v>
          </cell>
          <cell r="H157" t="str">
            <v>0017</v>
          </cell>
          <cell r="I157" t="str">
            <v>BEIGE</v>
          </cell>
          <cell r="J157" t="str">
            <v>BEIGE</v>
          </cell>
          <cell r="L157" t="str">
            <v>ASPEN</v>
          </cell>
          <cell r="M157" t="str">
            <v>R.TOPWN_BLY</v>
          </cell>
          <cell r="N157" t="str">
            <v>R.TOPWN_BLY0048</v>
          </cell>
          <cell r="O157" t="str">
            <v>SUP0017BEGBEG</v>
          </cell>
          <cell r="P157" t="str">
            <v>R.TOPWN_BLY0048_SUP0017BEGBEG</v>
          </cell>
        </row>
        <row r="158">
          <cell r="D158" t="str">
            <v>ASPEN / SUP0017BORBOR</v>
          </cell>
          <cell r="E158" t="str">
            <v>X4</v>
          </cell>
          <cell r="F158" t="str">
            <v>W</v>
          </cell>
          <cell r="G158" t="str">
            <v>SUPREME</v>
          </cell>
          <cell r="H158" t="str">
            <v>0017</v>
          </cell>
          <cell r="I158" t="str">
            <v>BORDEAUX</v>
          </cell>
          <cell r="J158" t="str">
            <v>BORDEAUX</v>
          </cell>
          <cell r="L158" t="str">
            <v>ASPEN</v>
          </cell>
          <cell r="M158" t="str">
            <v>R.TOPWN_BLY</v>
          </cell>
          <cell r="N158" t="str">
            <v>R.TOPWN_BLY0048</v>
          </cell>
          <cell r="O158" t="str">
            <v>SUP0017BORBOR</v>
          </cell>
          <cell r="P158" t="str">
            <v>R.TOPWN_BLY0048_SUP0017BORBOR</v>
          </cell>
        </row>
        <row r="159">
          <cell r="D159" t="str">
            <v>ASPEN / SUP0017DGYDGY</v>
          </cell>
          <cell r="E159" t="str">
            <v>X4</v>
          </cell>
          <cell r="F159" t="str">
            <v>W</v>
          </cell>
          <cell r="G159" t="str">
            <v>SUPREME</v>
          </cell>
          <cell r="H159" t="str">
            <v>0017</v>
          </cell>
          <cell r="I159" t="str">
            <v>DARK GRAY</v>
          </cell>
          <cell r="J159" t="str">
            <v>DARK GRAY</v>
          </cell>
          <cell r="L159" t="str">
            <v>ASPEN</v>
          </cell>
          <cell r="M159" t="str">
            <v>R.TOPWN_BLY</v>
          </cell>
          <cell r="N159" t="str">
            <v>R.TOPWN_BLY0048</v>
          </cell>
          <cell r="O159" t="str">
            <v>SUP0017DGYDGY</v>
          </cell>
          <cell r="P159" t="str">
            <v>R.TOPWN_BLY0048_SUP0017DGYDGY</v>
          </cell>
        </row>
        <row r="160">
          <cell r="D160" t="str">
            <v>ASPEN / SUP0017GRNGRN</v>
          </cell>
          <cell r="E160" t="str">
            <v>X4</v>
          </cell>
          <cell r="F160" t="str">
            <v>W</v>
          </cell>
          <cell r="G160" t="str">
            <v>SUPREME</v>
          </cell>
          <cell r="H160" t="str">
            <v>0017</v>
          </cell>
          <cell r="I160" t="str">
            <v>GREEN</v>
          </cell>
          <cell r="J160" t="str">
            <v>GREEN</v>
          </cell>
          <cell r="L160" t="str">
            <v>ASPEN</v>
          </cell>
          <cell r="M160" t="str">
            <v>R.TOPWN_BLY</v>
          </cell>
          <cell r="N160" t="str">
            <v>R.TOPWN_BLY0048</v>
          </cell>
          <cell r="O160" t="str">
            <v>SUP0017GRNGRN</v>
          </cell>
          <cell r="P160" t="str">
            <v>R.TOPWN_BLY0048_SUP0017GRNGRN</v>
          </cell>
        </row>
        <row r="161">
          <cell r="D161" t="str">
            <v>HELSINKI / SUP0018LGYLGY</v>
          </cell>
          <cell r="E161" t="str">
            <v>X4</v>
          </cell>
          <cell r="F161" t="str">
            <v>W</v>
          </cell>
          <cell r="G161" t="str">
            <v>SUPREME</v>
          </cell>
          <cell r="H161" t="str">
            <v>0018</v>
          </cell>
          <cell r="I161" t="str">
            <v>LIGHT GRAY</v>
          </cell>
          <cell r="J161" t="str">
            <v>LIGHT GRAY</v>
          </cell>
          <cell r="L161" t="str">
            <v>HELSINKI</v>
          </cell>
          <cell r="M161" t="str">
            <v>R.TOPMN_BLY</v>
          </cell>
          <cell r="N161" t="str">
            <v>R.TOPMN_BLY0049</v>
          </cell>
          <cell r="O161" t="str">
            <v>SUP0018LGYLGY</v>
          </cell>
          <cell r="P161" t="str">
            <v>R.TOPMN_BLY0049_SUP0018LGYLGY</v>
          </cell>
        </row>
        <row r="162">
          <cell r="D162" t="str">
            <v>COPENHAGEN / SUP0019BLKBLK</v>
          </cell>
          <cell r="E162" t="str">
            <v>X4</v>
          </cell>
          <cell r="F162" t="str">
            <v>W</v>
          </cell>
          <cell r="G162" t="str">
            <v>SUPREME</v>
          </cell>
          <cell r="H162" t="str">
            <v>0019</v>
          </cell>
          <cell r="I162" t="str">
            <v>BLACK</v>
          </cell>
          <cell r="J162" t="str">
            <v>BLACK</v>
          </cell>
          <cell r="L162" t="str">
            <v>COPENHAGEN</v>
          </cell>
          <cell r="M162" t="str">
            <v>R.TOPMN_BLY</v>
          </cell>
          <cell r="N162" t="str">
            <v>R.TOPMN_BLY0050</v>
          </cell>
          <cell r="O162" t="str">
            <v>SUP0019BLKBLK</v>
          </cell>
          <cell r="P162" t="str">
            <v>R.TOPMN_BLY0050_SUP0019BLKBLK</v>
          </cell>
        </row>
        <row r="163">
          <cell r="D163" t="str">
            <v>COPENHAGEN / SUP0020NAVNAV</v>
          </cell>
          <cell r="E163" t="str">
            <v>X4</v>
          </cell>
          <cell r="F163" t="str">
            <v>W</v>
          </cell>
          <cell r="G163" t="str">
            <v>SUPREME</v>
          </cell>
          <cell r="H163" t="str">
            <v>0020</v>
          </cell>
          <cell r="I163" t="str">
            <v>NAVY</v>
          </cell>
          <cell r="J163" t="str">
            <v>NAVY</v>
          </cell>
          <cell r="L163" t="str">
            <v>COPENHAGEN</v>
          </cell>
          <cell r="M163" t="str">
            <v>R.TOPMN_BLY</v>
          </cell>
          <cell r="N163" t="str">
            <v>R.TOPMN_BLY0050</v>
          </cell>
          <cell r="O163" t="str">
            <v>SUP0020NAVNAV</v>
          </cell>
          <cell r="P163" t="str">
            <v>R.TOPMN_BLY0050_SUP0020NAVNAV</v>
          </cell>
        </row>
        <row r="164">
          <cell r="D164" t="str">
            <v>OSLO / SUP0021NAVBEG</v>
          </cell>
          <cell r="E164" t="str">
            <v>X4</v>
          </cell>
          <cell r="F164" t="str">
            <v>W</v>
          </cell>
          <cell r="G164" t="str">
            <v>SUPREME</v>
          </cell>
          <cell r="H164" t="str">
            <v>0021</v>
          </cell>
          <cell r="I164" t="str">
            <v>NAVY</v>
          </cell>
          <cell r="J164" t="str">
            <v>BEIGE</v>
          </cell>
          <cell r="L164" t="str">
            <v>OSLO</v>
          </cell>
          <cell r="M164" t="str">
            <v>R.TOPMN_BLY</v>
          </cell>
          <cell r="N164" t="str">
            <v>R.TOPMN_BLY0051</v>
          </cell>
          <cell r="O164" t="str">
            <v>SUP0021NAVBEG</v>
          </cell>
          <cell r="P164" t="str">
            <v>R.TOPMN_BLY0051_SUP0021NAVBEG</v>
          </cell>
        </row>
        <row r="165">
          <cell r="D165" t="str">
            <v>OSLO / SUP0022DGYLGY</v>
          </cell>
          <cell r="E165" t="str">
            <v>X4</v>
          </cell>
          <cell r="F165" t="str">
            <v>W</v>
          </cell>
          <cell r="G165" t="str">
            <v>SUPREME</v>
          </cell>
          <cell r="H165" t="str">
            <v>0022</v>
          </cell>
          <cell r="I165" t="str">
            <v>DARK GRAY</v>
          </cell>
          <cell r="J165" t="str">
            <v>LIGHT GRAY</v>
          </cell>
          <cell r="L165" t="str">
            <v>OSLO</v>
          </cell>
          <cell r="M165" t="str">
            <v>R.TOPMN_BLY</v>
          </cell>
          <cell r="N165" t="str">
            <v>R.TOPMN_BLY0051</v>
          </cell>
          <cell r="O165" t="str">
            <v>SUP0022DGYLGY</v>
          </cell>
          <cell r="P165" t="str">
            <v>R.TOPMN_BLY0051_SUP0022DGYLGY</v>
          </cell>
        </row>
        <row r="166">
          <cell r="D166" t="str">
            <v>MILANO / SUP0023WHTWHT</v>
          </cell>
          <cell r="E166" t="str">
            <v>X4</v>
          </cell>
          <cell r="F166" t="str">
            <v>A</v>
          </cell>
          <cell r="G166" t="str">
            <v>SUPREME</v>
          </cell>
          <cell r="H166" t="str">
            <v>0023</v>
          </cell>
          <cell r="I166" t="str">
            <v>WHITE</v>
          </cell>
          <cell r="J166" t="str">
            <v>WHITE</v>
          </cell>
          <cell r="L166" t="str">
            <v>MILANO</v>
          </cell>
          <cell r="M166" t="str">
            <v>R.TOPMN_CPS</v>
          </cell>
          <cell r="N166" t="str">
            <v>R.TOPMN_CPS0052</v>
          </cell>
          <cell r="O166" t="str">
            <v>SUP0023WHTWHT</v>
          </cell>
          <cell r="P166" t="str">
            <v>R.TOPMN_CPS0052_SUP0023WHTWHT</v>
          </cell>
        </row>
        <row r="167">
          <cell r="D167" t="str">
            <v>LUGANO / PIQ0015WHTWHT</v>
          </cell>
          <cell r="E167" t="str">
            <v>X4</v>
          </cell>
          <cell r="F167" t="str">
            <v>A</v>
          </cell>
          <cell r="G167" t="str">
            <v>PIQUET</v>
          </cell>
          <cell r="H167" t="str">
            <v>0015</v>
          </cell>
          <cell r="I167" t="str">
            <v>WHITE</v>
          </cell>
          <cell r="J167" t="str">
            <v>WHITE</v>
          </cell>
          <cell r="L167" t="str">
            <v>LUGANO</v>
          </cell>
          <cell r="M167" t="str">
            <v>R.TOPMN_CPS</v>
          </cell>
          <cell r="N167" t="str">
            <v>R.TOPMN_CPS0053</v>
          </cell>
          <cell r="O167" t="str">
            <v>PIQ0015WHTWHT</v>
          </cell>
          <cell r="P167" t="str">
            <v>R.TOPMN_CPS0053_PIQ0015WHTWHT</v>
          </cell>
        </row>
        <row r="168">
          <cell r="D168" t="str">
            <v>LUGANO / PIQ0015NAVWHT</v>
          </cell>
          <cell r="E168" t="str">
            <v>X4</v>
          </cell>
          <cell r="F168" t="str">
            <v>A</v>
          </cell>
          <cell r="G168" t="str">
            <v>PIQUET</v>
          </cell>
          <cell r="H168" t="str">
            <v>0015</v>
          </cell>
          <cell r="I168" t="str">
            <v>NAVY</v>
          </cell>
          <cell r="J168" t="str">
            <v>WHITE</v>
          </cell>
          <cell r="L168" t="str">
            <v>LUGANO</v>
          </cell>
          <cell r="M168" t="str">
            <v>R.TOPMN_CPS</v>
          </cell>
          <cell r="N168" t="str">
            <v>R.TOPMN_CPS0053</v>
          </cell>
          <cell r="O168" t="str">
            <v>PIQ0015NAVWHT</v>
          </cell>
          <cell r="P168" t="str">
            <v>R.TOPMN_CPS0053_PIQ0015NAVWHT</v>
          </cell>
        </row>
        <row r="169">
          <cell r="D169" t="str">
            <v>PANDORA / KNT0000NAVWHT</v>
          </cell>
          <cell r="E169" t="str">
            <v>X4</v>
          </cell>
          <cell r="F169" t="str">
            <v>A</v>
          </cell>
          <cell r="G169" t="str">
            <v>KNIT</v>
          </cell>
          <cell r="H169" t="str">
            <v>0000</v>
          </cell>
          <cell r="I169" t="str">
            <v>NAVY</v>
          </cell>
          <cell r="J169" t="str">
            <v>WHITE</v>
          </cell>
          <cell r="L169" t="str">
            <v>PANDORA</v>
          </cell>
          <cell r="M169" t="str">
            <v>H.FLYFL_EAR</v>
          </cell>
          <cell r="N169" t="str">
            <v>H.FLYFL_EAR0054</v>
          </cell>
          <cell r="O169" t="str">
            <v>KNT0000NAVWHT</v>
          </cell>
          <cell r="P169" t="str">
            <v>H.FLYFL_EAR0054_KNT0000NAVWHT</v>
          </cell>
        </row>
        <row r="170">
          <cell r="D170" t="str">
            <v>PANDORA / KNT0000BLKRED</v>
          </cell>
          <cell r="E170" t="str">
            <v>X4</v>
          </cell>
          <cell r="F170" t="str">
            <v>A</v>
          </cell>
          <cell r="G170" t="str">
            <v>KNIT</v>
          </cell>
          <cell r="H170" t="str">
            <v>0000</v>
          </cell>
          <cell r="I170" t="str">
            <v>BLACK</v>
          </cell>
          <cell r="J170" t="str">
            <v>RED</v>
          </cell>
          <cell r="L170" t="str">
            <v>PANDORA</v>
          </cell>
          <cell r="M170" t="str">
            <v>H.FLYFL_EAR</v>
          </cell>
          <cell r="N170" t="str">
            <v>H.FLYFL_EAR0054</v>
          </cell>
          <cell r="O170" t="str">
            <v>KNT0000BLKRED</v>
          </cell>
          <cell r="P170" t="str">
            <v>H.FLYFL_EAR0054_KNT0000BLKRED</v>
          </cell>
        </row>
        <row r="171">
          <cell r="D171" t="str">
            <v>PANDORA / KNT0000BORGLD</v>
          </cell>
          <cell r="E171" t="str">
            <v>X4</v>
          </cell>
          <cell r="F171" t="str">
            <v>A</v>
          </cell>
          <cell r="G171" t="str">
            <v>KNIT</v>
          </cell>
          <cell r="H171" t="str">
            <v>0000</v>
          </cell>
          <cell r="I171" t="str">
            <v>BORDEAUX</v>
          </cell>
          <cell r="J171" t="str">
            <v>GOLD</v>
          </cell>
          <cell r="L171" t="str">
            <v>PANDORA</v>
          </cell>
          <cell r="M171" t="str">
            <v>H.FLYFL_EAR</v>
          </cell>
          <cell r="N171" t="str">
            <v>H.FLYFL_EAR0054</v>
          </cell>
          <cell r="O171" t="str">
            <v>KNT0000BORGLD</v>
          </cell>
          <cell r="P171" t="str">
            <v>H.FLYFL_EAR0054_KNT0000BORGLD</v>
          </cell>
        </row>
        <row r="172">
          <cell r="D172" t="str">
            <v>PANDORA / KNT0000BRWGLD</v>
          </cell>
          <cell r="E172" t="str">
            <v>X4</v>
          </cell>
          <cell r="F172" t="str">
            <v>A</v>
          </cell>
          <cell r="G172" t="str">
            <v>KNIT</v>
          </cell>
          <cell r="H172" t="str">
            <v>0000</v>
          </cell>
          <cell r="I172" t="str">
            <v>BROWN</v>
          </cell>
          <cell r="J172" t="str">
            <v>GOLD</v>
          </cell>
          <cell r="L172" t="str">
            <v>PANDORA</v>
          </cell>
          <cell r="M172" t="str">
            <v>H.FLYFL_EAR</v>
          </cell>
          <cell r="N172" t="str">
            <v>H.FLYFL_EAR0054</v>
          </cell>
          <cell r="O172" t="str">
            <v>KNT0000BRWGLD</v>
          </cell>
          <cell r="P172" t="str">
            <v>H.FLYFL_EAR0054_KNT0000BRWGLD</v>
          </cell>
        </row>
        <row r="173">
          <cell r="D173" t="str">
            <v>PANDORA / KNT0000GRNGLD</v>
          </cell>
          <cell r="E173" t="str">
            <v>X4</v>
          </cell>
          <cell r="F173" t="str">
            <v>A</v>
          </cell>
          <cell r="G173" t="str">
            <v>KNIT</v>
          </cell>
          <cell r="H173" t="str">
            <v>0000</v>
          </cell>
          <cell r="I173" t="str">
            <v>GREEN</v>
          </cell>
          <cell r="J173" t="str">
            <v>GOLD</v>
          </cell>
          <cell r="L173" t="str">
            <v>PANDORA</v>
          </cell>
          <cell r="M173" t="str">
            <v>H.FLYFL_EAR</v>
          </cell>
          <cell r="N173" t="str">
            <v>H.FLYFL_EAR0054</v>
          </cell>
          <cell r="O173" t="str">
            <v>KNT0000GRNGLD</v>
          </cell>
          <cell r="P173" t="str">
            <v>H.FLYFL_EAR0054_KNT0000GRNGLD</v>
          </cell>
        </row>
        <row r="174">
          <cell r="D174" t="str">
            <v>PANDORA / KNT0000NAVGLD</v>
          </cell>
          <cell r="E174" t="str">
            <v>X4</v>
          </cell>
          <cell r="F174" t="str">
            <v>A</v>
          </cell>
          <cell r="G174" t="str">
            <v>KNIT</v>
          </cell>
          <cell r="H174" t="str">
            <v>0000</v>
          </cell>
          <cell r="I174" t="str">
            <v>NAVY</v>
          </cell>
          <cell r="J174" t="str">
            <v>GOLD</v>
          </cell>
          <cell r="L174" t="str">
            <v>PANDORA</v>
          </cell>
          <cell r="M174" t="str">
            <v>H.FLYFL_EAR</v>
          </cell>
          <cell r="N174" t="str">
            <v>H.FLYFL_EAR0054</v>
          </cell>
          <cell r="O174" t="str">
            <v>KNT0000NAVGLD</v>
          </cell>
          <cell r="P174" t="str">
            <v>H.FLYFL_EAR0054_KNT0000NAVGLD</v>
          </cell>
        </row>
        <row r="175">
          <cell r="D175" t="str">
            <v>PANDORA / KNT0000BLKWHT</v>
          </cell>
          <cell r="E175" t="str">
            <v>X4</v>
          </cell>
          <cell r="F175" t="str">
            <v>A</v>
          </cell>
          <cell r="G175" t="str">
            <v>KNIT</v>
          </cell>
          <cell r="H175" t="str">
            <v>0000</v>
          </cell>
          <cell r="I175" t="str">
            <v>BLACK</v>
          </cell>
          <cell r="J175" t="str">
            <v>WHITE</v>
          </cell>
          <cell r="L175" t="str">
            <v>PANDORA</v>
          </cell>
          <cell r="M175" t="str">
            <v>H.FLYFL_EAR</v>
          </cell>
          <cell r="N175" t="str">
            <v>H.FLYFL_EAR0054</v>
          </cell>
          <cell r="O175" t="str">
            <v>KNT0000BLKWHT</v>
          </cell>
          <cell r="P175" t="str">
            <v>H.FLYFL_EAR0054_KNT0000BLKWHT</v>
          </cell>
        </row>
        <row r="176">
          <cell r="D176" t="str">
            <v>PANDORA-P / KNT0000BORGLD</v>
          </cell>
          <cell r="E176" t="str">
            <v>X4</v>
          </cell>
          <cell r="F176" t="str">
            <v>A</v>
          </cell>
          <cell r="G176" t="str">
            <v>KNIT</v>
          </cell>
          <cell r="H176" t="str">
            <v>0000</v>
          </cell>
          <cell r="I176" t="str">
            <v>BORDEAUX</v>
          </cell>
          <cell r="J176" t="str">
            <v>GOLD</v>
          </cell>
          <cell r="L176" t="str">
            <v>PANDORA-P</v>
          </cell>
          <cell r="M176" t="str">
            <v>H.FLYPN_EAR</v>
          </cell>
          <cell r="N176" t="str">
            <v>H.FLYPN_EAR0055</v>
          </cell>
          <cell r="O176" t="str">
            <v>KNT0000BORGLD</v>
          </cell>
          <cell r="P176" t="str">
            <v>H.FLYPN_EAR0055_KNT0000BORGLD</v>
          </cell>
        </row>
        <row r="177">
          <cell r="D177" t="str">
            <v>PANDORA-P / KNT0000BRWGLD</v>
          </cell>
          <cell r="E177" t="str">
            <v>X4</v>
          </cell>
          <cell r="F177" t="str">
            <v>A</v>
          </cell>
          <cell r="G177" t="str">
            <v>KNIT</v>
          </cell>
          <cell r="H177" t="str">
            <v>0000</v>
          </cell>
          <cell r="I177" t="str">
            <v>BROWN</v>
          </cell>
          <cell r="J177" t="str">
            <v>GOLD</v>
          </cell>
          <cell r="L177" t="str">
            <v>PANDORA-P</v>
          </cell>
          <cell r="M177" t="str">
            <v>H.FLYPN_EAR</v>
          </cell>
          <cell r="N177" t="str">
            <v>H.FLYPN_EAR0055</v>
          </cell>
          <cell r="O177" t="str">
            <v>KNT0000BRWGLD</v>
          </cell>
          <cell r="P177" t="str">
            <v>H.FLYPN_EAR0055_KNT0000BRWGLD</v>
          </cell>
        </row>
        <row r="178">
          <cell r="D178" t="str">
            <v>PANDORA-P / KNT0000GRNGLD</v>
          </cell>
          <cell r="E178" t="str">
            <v>X4</v>
          </cell>
          <cell r="F178" t="str">
            <v>A</v>
          </cell>
          <cell r="G178" t="str">
            <v>KNIT</v>
          </cell>
          <cell r="H178" t="str">
            <v>0000</v>
          </cell>
          <cell r="I178" t="str">
            <v>GREEN</v>
          </cell>
          <cell r="J178" t="str">
            <v>GOLD</v>
          </cell>
          <cell r="L178" t="str">
            <v>PANDORA-P</v>
          </cell>
          <cell r="M178" t="str">
            <v>H.FLYPN_EAR</v>
          </cell>
          <cell r="N178" t="str">
            <v>H.FLYPN_EAR0055</v>
          </cell>
          <cell r="O178" t="str">
            <v>KNT0000GRNGLD</v>
          </cell>
          <cell r="P178" t="str">
            <v>H.FLYPN_EAR0055_KNT0000GRNGLD</v>
          </cell>
        </row>
        <row r="179">
          <cell r="D179" t="str">
            <v>PANDORA-P / KNT0000NAVGLD</v>
          </cell>
          <cell r="E179" t="str">
            <v>X4</v>
          </cell>
          <cell r="F179" t="str">
            <v>A</v>
          </cell>
          <cell r="G179" t="str">
            <v>KNIT</v>
          </cell>
          <cell r="H179" t="str">
            <v>0000</v>
          </cell>
          <cell r="I179" t="str">
            <v>NAVY</v>
          </cell>
          <cell r="J179" t="str">
            <v>GOLD</v>
          </cell>
          <cell r="L179" t="str">
            <v>PANDORA-P</v>
          </cell>
          <cell r="M179" t="str">
            <v>H.FLYPN_EAR</v>
          </cell>
          <cell r="N179" t="str">
            <v>H.FLYPN_EAR0055</v>
          </cell>
          <cell r="O179" t="str">
            <v>KNT0000NAVGLD</v>
          </cell>
          <cell r="P179" t="str">
            <v>H.FLYPN_EAR0055_KNT0000NAVGLD</v>
          </cell>
        </row>
        <row r="180">
          <cell r="D180" t="str">
            <v>PANDORA-P / KNT0000BLKGLD</v>
          </cell>
          <cell r="E180" t="str">
            <v>X4</v>
          </cell>
          <cell r="F180" t="str">
            <v>A</v>
          </cell>
          <cell r="G180" t="str">
            <v>KNIT</v>
          </cell>
          <cell r="H180" t="str">
            <v>0000</v>
          </cell>
          <cell r="I180" t="str">
            <v>BLACK</v>
          </cell>
          <cell r="J180" t="str">
            <v>GOLD</v>
          </cell>
          <cell r="L180" t="str">
            <v>PANDORA-P</v>
          </cell>
          <cell r="M180" t="str">
            <v>H.FLYPN_EAR</v>
          </cell>
          <cell r="N180" t="str">
            <v>H.FLYPN_EAR0055</v>
          </cell>
          <cell r="O180" t="str">
            <v>KNT0000BLKGLD</v>
          </cell>
          <cell r="P180" t="str">
            <v>H.FLYPN_EAR0055_KNT0000BLKGLD</v>
          </cell>
        </row>
        <row r="181">
          <cell r="D181" t="str">
            <v>ATLANTA / NYL0000BLKBLK</v>
          </cell>
          <cell r="E181" t="str">
            <v>X4</v>
          </cell>
          <cell r="F181" t="str">
            <v>W</v>
          </cell>
          <cell r="G181" t="str">
            <v>NYLON</v>
          </cell>
          <cell r="H181" t="str">
            <v>0000</v>
          </cell>
          <cell r="I181" t="str">
            <v>BLACK</v>
          </cell>
          <cell r="J181" t="str">
            <v>BLACK</v>
          </cell>
          <cell r="L181" t="str">
            <v>ATLANTA</v>
          </cell>
          <cell r="M181" t="str">
            <v>R.OTWMN_PUV</v>
          </cell>
          <cell r="N181" t="str">
            <v>R.OTWMN_PUV0056</v>
          </cell>
          <cell r="O181" t="str">
            <v>NYL0000BLKBLK</v>
          </cell>
          <cell r="P181" t="str">
            <v>R.OTWMN_PUV0056_NYL0000BLKBLK</v>
          </cell>
        </row>
        <row r="182">
          <cell r="D182" t="str">
            <v>ATLANTA / NYL0000NAVNAV</v>
          </cell>
          <cell r="E182" t="str">
            <v>X4</v>
          </cell>
          <cell r="F182" t="str">
            <v>W</v>
          </cell>
          <cell r="G182" t="str">
            <v>NYLON</v>
          </cell>
          <cell r="H182" t="str">
            <v>0000</v>
          </cell>
          <cell r="I182" t="str">
            <v>NAVY</v>
          </cell>
          <cell r="J182" t="str">
            <v>NAVY</v>
          </cell>
          <cell r="L182" t="str">
            <v>ATLANTA</v>
          </cell>
          <cell r="M182" t="str">
            <v>R.OTWMN_PUV</v>
          </cell>
          <cell r="N182" t="str">
            <v>R.OTWMN_PUV0056</v>
          </cell>
          <cell r="O182" t="str">
            <v>NYL0000NAVNAV</v>
          </cell>
          <cell r="P182" t="str">
            <v>R.OTWMN_PUV0056_NYL0000NAVNAV</v>
          </cell>
        </row>
        <row r="183">
          <cell r="D183" t="str">
            <v>ATLANTA / NYL0000PETPET</v>
          </cell>
          <cell r="E183" t="str">
            <v>X4</v>
          </cell>
          <cell r="F183" t="str">
            <v>W</v>
          </cell>
          <cell r="G183" t="str">
            <v>NYLON</v>
          </cell>
          <cell r="H183" t="str">
            <v>0000</v>
          </cell>
          <cell r="I183" t="str">
            <v>PETROL</v>
          </cell>
          <cell r="J183" t="str">
            <v>PETROL</v>
          </cell>
          <cell r="L183" t="str">
            <v>ATLANTA</v>
          </cell>
          <cell r="M183" t="str">
            <v>R.OTWMN_PUV</v>
          </cell>
          <cell r="N183" t="str">
            <v>R.OTWMN_PUV0056</v>
          </cell>
          <cell r="O183" t="str">
            <v>NYL0000PETPET</v>
          </cell>
          <cell r="P183" t="str">
            <v>R.OTWMN_PUV0056_NYL0000PETPET</v>
          </cell>
        </row>
        <row r="184">
          <cell r="D184" t="str">
            <v>ATLANTA / NYL0000GRNGRN</v>
          </cell>
          <cell r="E184" t="str">
            <v>X4</v>
          </cell>
          <cell r="F184" t="str">
            <v>W</v>
          </cell>
          <cell r="G184" t="str">
            <v>NYLON</v>
          </cell>
          <cell r="H184" t="str">
            <v>0000</v>
          </cell>
          <cell r="I184" t="str">
            <v>GREEN</v>
          </cell>
          <cell r="J184" t="str">
            <v>GREEN</v>
          </cell>
          <cell r="L184" t="str">
            <v>ATLANTA</v>
          </cell>
          <cell r="M184" t="str">
            <v>R.OTWMN_PUV</v>
          </cell>
          <cell r="N184" t="str">
            <v>R.OTWMN_PUV0056</v>
          </cell>
          <cell r="O184" t="str">
            <v>NYL0000GRNGRN</v>
          </cell>
          <cell r="P184" t="str">
            <v>R.OTWMN_PUV0056_NYL0000GRNGRN</v>
          </cell>
        </row>
        <row r="185">
          <cell r="D185" t="str">
            <v>CANADA / NYL0000CRMCRM</v>
          </cell>
          <cell r="E185" t="str">
            <v>X4</v>
          </cell>
          <cell r="F185" t="str">
            <v>W</v>
          </cell>
          <cell r="G185" t="str">
            <v>NYLON</v>
          </cell>
          <cell r="H185" t="str">
            <v>0000</v>
          </cell>
          <cell r="I185" t="str">
            <v>CREAM</v>
          </cell>
          <cell r="J185" t="str">
            <v>CREAM</v>
          </cell>
          <cell r="L185" t="str">
            <v>CANADA</v>
          </cell>
          <cell r="M185" t="str">
            <v>R.OTWWN_PUV</v>
          </cell>
          <cell r="N185" t="str">
            <v>R.OTWWN_PUV0057</v>
          </cell>
          <cell r="O185" t="str">
            <v>NYL0000CRMCRM</v>
          </cell>
          <cell r="P185" t="str">
            <v>R.OTWWN_PUV0057_NYL0000CRMCRM</v>
          </cell>
        </row>
        <row r="186">
          <cell r="D186" t="str">
            <v>CANADA / NYL0000VIOVIO</v>
          </cell>
          <cell r="E186" t="str">
            <v>X4</v>
          </cell>
          <cell r="F186" t="str">
            <v>W</v>
          </cell>
          <cell r="G186" t="str">
            <v>NYLON</v>
          </cell>
          <cell r="H186" t="str">
            <v>0000</v>
          </cell>
          <cell r="I186" t="str">
            <v>VIOLET</v>
          </cell>
          <cell r="J186" t="str">
            <v>VIOLET</v>
          </cell>
          <cell r="L186" t="str">
            <v>CANADA</v>
          </cell>
          <cell r="M186" t="str">
            <v>R.OTWWN_PUV</v>
          </cell>
          <cell r="N186" t="str">
            <v>R.OTWWN_PUV0057</v>
          </cell>
          <cell r="O186" t="str">
            <v>NYL0000VIOVIO</v>
          </cell>
          <cell r="P186" t="str">
            <v>R.OTWWN_PUV0057_NYL0000VIOVIO</v>
          </cell>
        </row>
        <row r="187">
          <cell r="D187" t="str">
            <v>CANADA / NYL0000BLKBLK</v>
          </cell>
          <cell r="E187" t="str">
            <v>X4</v>
          </cell>
          <cell r="F187" t="str">
            <v>W</v>
          </cell>
          <cell r="G187" t="str">
            <v>NYLON</v>
          </cell>
          <cell r="H187" t="str">
            <v>0000</v>
          </cell>
          <cell r="I187" t="str">
            <v>BLACK</v>
          </cell>
          <cell r="J187" t="str">
            <v>BLACK</v>
          </cell>
          <cell r="L187" t="str">
            <v>CANADA</v>
          </cell>
          <cell r="M187" t="str">
            <v>R.OTWWN_PUV</v>
          </cell>
          <cell r="N187" t="str">
            <v>R.OTWWN_PUV0057</v>
          </cell>
          <cell r="O187" t="str">
            <v>NYL0000BLKBLK</v>
          </cell>
          <cell r="P187" t="str">
            <v>R.OTWWN_PUV0057_NYL0000BLKBLK</v>
          </cell>
        </row>
        <row r="188">
          <cell r="D188" t="str">
            <v>CANADA / NYL0000NAVNAV</v>
          </cell>
          <cell r="E188" t="str">
            <v>X4</v>
          </cell>
          <cell r="F188" t="str">
            <v>W</v>
          </cell>
          <cell r="G188" t="str">
            <v>NYLON</v>
          </cell>
          <cell r="H188" t="str">
            <v>0000</v>
          </cell>
          <cell r="I188" t="str">
            <v>NAVY</v>
          </cell>
          <cell r="J188" t="str">
            <v>NAVY</v>
          </cell>
          <cell r="L188" t="str">
            <v>CANADA</v>
          </cell>
          <cell r="M188" t="str">
            <v>R.OTWWN_PUV</v>
          </cell>
          <cell r="N188" t="str">
            <v>R.OTWWN_PUV0057</v>
          </cell>
          <cell r="O188" t="str">
            <v>NYL0000NAVNAV</v>
          </cell>
          <cell r="P188" t="str">
            <v>R.OTWWN_PUV0057_NYL0000NAVNAV</v>
          </cell>
        </row>
        <row r="189">
          <cell r="D189" t="str">
            <v>QUEBEC / NYL0000BLKBLK</v>
          </cell>
          <cell r="E189" t="str">
            <v>X4</v>
          </cell>
          <cell r="F189" t="str">
            <v>W</v>
          </cell>
          <cell r="G189" t="str">
            <v>NYLON</v>
          </cell>
          <cell r="H189" t="str">
            <v>0000</v>
          </cell>
          <cell r="I189" t="str">
            <v>BLACK</v>
          </cell>
          <cell r="J189" t="str">
            <v>BLACK</v>
          </cell>
          <cell r="L189" t="str">
            <v>QUEBEC</v>
          </cell>
          <cell r="M189" t="str">
            <v>R.OTWKU_PUV</v>
          </cell>
          <cell r="N189" t="str">
            <v>R.OTWKU_PUV0058</v>
          </cell>
          <cell r="O189" t="str">
            <v>NYL0000BLKBLK</v>
          </cell>
          <cell r="P189" t="str">
            <v>R.OTWKU_PUV0058_NYL0000BLKBLK</v>
          </cell>
        </row>
        <row r="190">
          <cell r="D190" t="str">
            <v>QUEBEC / NYL0000NAVNAV</v>
          </cell>
          <cell r="E190" t="str">
            <v>X4</v>
          </cell>
          <cell r="F190" t="str">
            <v>W</v>
          </cell>
          <cell r="G190" t="str">
            <v>NYLON</v>
          </cell>
          <cell r="H190" t="str">
            <v>0000</v>
          </cell>
          <cell r="I190" t="str">
            <v>NAVY</v>
          </cell>
          <cell r="J190" t="str">
            <v>NAVY</v>
          </cell>
          <cell r="L190" t="str">
            <v>QUEBEC</v>
          </cell>
          <cell r="M190" t="str">
            <v>R.OTWKU_PUV</v>
          </cell>
          <cell r="N190" t="str">
            <v>R.OTWKU_PUV0058</v>
          </cell>
          <cell r="O190" t="str">
            <v>NYL0000NAVNAV</v>
          </cell>
          <cell r="P190" t="str">
            <v>R.OTWKU_PUV0058_NYL0000NAVNAV</v>
          </cell>
        </row>
        <row r="191">
          <cell r="D191" t="str">
            <v>CHICAGO / FLC0001GRYBLK</v>
          </cell>
          <cell r="E191" t="str">
            <v>X4</v>
          </cell>
          <cell r="F191" t="str">
            <v>W</v>
          </cell>
          <cell r="G191" t="str">
            <v>FLEECE</v>
          </cell>
          <cell r="H191" t="str">
            <v>0001</v>
          </cell>
          <cell r="I191" t="str">
            <v>GRAY</v>
          </cell>
          <cell r="J191" t="str">
            <v>BLACK</v>
          </cell>
          <cell r="L191" t="str">
            <v>CHICAGO</v>
          </cell>
          <cell r="M191" t="str">
            <v>R.S&amp;JMN_JMP</v>
          </cell>
          <cell r="N191" t="str">
            <v>R.S&amp;JMN_JMP0059</v>
          </cell>
          <cell r="O191" t="str">
            <v>FLC0001GRYBLK</v>
          </cell>
          <cell r="P191" t="str">
            <v>R.S&amp;JMN_JMP0059_FLC0001GRYBLK</v>
          </cell>
        </row>
        <row r="192">
          <cell r="D192" t="str">
            <v>MONTE NEGRO / SWT0024GRYBLK</v>
          </cell>
          <cell r="E192" t="str">
            <v>X4</v>
          </cell>
          <cell r="F192" t="str">
            <v>W</v>
          </cell>
          <cell r="G192" t="str">
            <v>SWEAT</v>
          </cell>
          <cell r="H192" t="str">
            <v>0024</v>
          </cell>
          <cell r="I192" t="str">
            <v>GRAY</v>
          </cell>
          <cell r="J192" t="str">
            <v>BLACK</v>
          </cell>
          <cell r="L192" t="str">
            <v>MONTE NEGRO</v>
          </cell>
          <cell r="M192" t="str">
            <v>R.S&amp;JMN_JMP</v>
          </cell>
          <cell r="N192" t="str">
            <v>R.S&amp;JMN_JMP0060</v>
          </cell>
          <cell r="O192" t="str">
            <v>SWT0024GRYBLK</v>
          </cell>
          <cell r="P192" t="str">
            <v>R.S&amp;JMN_JMP0060_SWT0024GRYBLK</v>
          </cell>
        </row>
        <row r="193">
          <cell r="D193" t="str">
            <v>ALEX / FLC0001PURPUR</v>
          </cell>
          <cell r="E193" t="str">
            <v>X4</v>
          </cell>
          <cell r="F193" t="str">
            <v>W</v>
          </cell>
          <cell r="G193" t="str">
            <v>FLEECE</v>
          </cell>
          <cell r="H193" t="str">
            <v>0001</v>
          </cell>
          <cell r="I193" t="str">
            <v>PURPLE</v>
          </cell>
          <cell r="J193" t="str">
            <v>PURPLE</v>
          </cell>
          <cell r="L193" t="str">
            <v>ALEX</v>
          </cell>
          <cell r="M193" t="str">
            <v>R.S&amp;JKU_JMP</v>
          </cell>
          <cell r="N193" t="str">
            <v>R.S&amp;JKU_JMP0061</v>
          </cell>
          <cell r="O193" t="str">
            <v>FLC0001PURPUR</v>
          </cell>
          <cell r="P193" t="str">
            <v>R.S&amp;JKU_JMP0061_FLC0001PURPUR</v>
          </cell>
        </row>
        <row r="194">
          <cell r="D194" t="str">
            <v>SALERNO / RPS0003BLKBLK</v>
          </cell>
          <cell r="E194" t="str">
            <v>X4</v>
          </cell>
          <cell r="F194" t="str">
            <v>A</v>
          </cell>
          <cell r="G194" t="str">
            <v>RAINPROOF SHELL</v>
          </cell>
          <cell r="H194" t="str">
            <v>0003</v>
          </cell>
          <cell r="I194" t="str">
            <v>BLACK</v>
          </cell>
          <cell r="J194" t="str">
            <v>BLACK</v>
          </cell>
          <cell r="L194" t="str">
            <v>SALERNO</v>
          </cell>
          <cell r="M194" t="str">
            <v>A.SACNA_STC</v>
          </cell>
          <cell r="N194" t="str">
            <v>A.SACNA_STC0062</v>
          </cell>
          <cell r="O194" t="str">
            <v>RPS0003BLKBLK</v>
          </cell>
          <cell r="P194" t="str">
            <v>A.SACNA_STC0062_RPS0003BLKBLK</v>
          </cell>
        </row>
        <row r="195">
          <cell r="D195" t="str">
            <v>SALVADOR / RPS0003BLKBLK</v>
          </cell>
          <cell r="E195" t="str">
            <v>X4</v>
          </cell>
          <cell r="F195" t="str">
            <v>A</v>
          </cell>
          <cell r="G195" t="str">
            <v>RAINPROOF SHELL</v>
          </cell>
          <cell r="H195" t="str">
            <v>0003</v>
          </cell>
          <cell r="I195" t="str">
            <v>BLACK</v>
          </cell>
          <cell r="J195" t="str">
            <v>BLACK</v>
          </cell>
          <cell r="L195" t="str">
            <v>SALVADOR</v>
          </cell>
          <cell r="M195" t="str">
            <v>A.SACNA_STG</v>
          </cell>
          <cell r="N195" t="str">
            <v>A.SACNA_STG0063</v>
          </cell>
          <cell r="O195" t="str">
            <v>RPS0003BLKBLK</v>
          </cell>
          <cell r="P195" t="str">
            <v>A.SACNA_STG0063_RPS0003BLKBLK</v>
          </cell>
        </row>
        <row r="196">
          <cell r="D196" t="str">
            <v>BELLA / SUP0025BLKBLK</v>
          </cell>
          <cell r="E196" t="str">
            <v>X4</v>
          </cell>
          <cell r="F196" t="str">
            <v>S</v>
          </cell>
          <cell r="G196" t="str">
            <v>SUPREME</v>
          </cell>
          <cell r="H196" t="str">
            <v>0025</v>
          </cell>
          <cell r="I196" t="str">
            <v>BLACK</v>
          </cell>
          <cell r="J196" t="str">
            <v>BLACK</v>
          </cell>
          <cell r="L196" t="str">
            <v>BELLA</v>
          </cell>
          <cell r="M196" t="str">
            <v>R.TOPWN_TTS</v>
          </cell>
          <cell r="N196" t="str">
            <v>R.TOPWN_TTS0064</v>
          </cell>
          <cell r="O196" t="str">
            <v>SUP0025BLKBLK</v>
          </cell>
          <cell r="P196" t="str">
            <v>R.TOPWN_TTS0064_SUP0025BLKBLK</v>
          </cell>
        </row>
        <row r="197">
          <cell r="D197" t="str">
            <v>ASPEN-JR / SUP0017DGYDGY</v>
          </cell>
          <cell r="E197" t="str">
            <v>X5</v>
          </cell>
          <cell r="F197" t="str">
            <v>W</v>
          </cell>
          <cell r="G197" t="str">
            <v>SUPREME</v>
          </cell>
          <cell r="H197" t="str">
            <v>0017</v>
          </cell>
          <cell r="I197" t="str">
            <v>DARK GRAY</v>
          </cell>
          <cell r="J197" t="str">
            <v>DARK GRAY</v>
          </cell>
          <cell r="L197" t="str">
            <v>ASPEN-JR</v>
          </cell>
          <cell r="M197" t="str">
            <v>R.TOPKG_BLY</v>
          </cell>
          <cell r="N197" t="str">
            <v>R.TOPKG_BLY0065</v>
          </cell>
          <cell r="O197" t="str">
            <v>SUP0017DGYDGY</v>
          </cell>
          <cell r="P197" t="str">
            <v>R.TOPKG_BLY0065_SUP0017DGYDGY</v>
          </cell>
        </row>
        <row r="198">
          <cell r="D198" t="str">
            <v>ASPEN-JR / SUP0017BORBOR</v>
          </cell>
          <cell r="E198" t="str">
            <v>X5</v>
          </cell>
          <cell r="F198" t="str">
            <v>W</v>
          </cell>
          <cell r="G198" t="str">
            <v>SUPREME</v>
          </cell>
          <cell r="H198" t="str">
            <v>0017</v>
          </cell>
          <cell r="I198" t="str">
            <v>BORDEAUX</v>
          </cell>
          <cell r="J198" t="str">
            <v>BORDEAUX</v>
          </cell>
          <cell r="L198" t="str">
            <v>ASPEN-JR</v>
          </cell>
          <cell r="M198" t="str">
            <v>R.TOPKG_BLY</v>
          </cell>
          <cell r="N198" t="str">
            <v>R.TOPKG_BLY0065</v>
          </cell>
          <cell r="O198" t="str">
            <v>SUP0017BORBOR</v>
          </cell>
          <cell r="P198" t="str">
            <v>R.TOPKG_BLY0065_SUP0017BORBOR</v>
          </cell>
        </row>
        <row r="199">
          <cell r="D199" t="str">
            <v>LEONARDO / TJR0026WHTWHT</v>
          </cell>
          <cell r="E199" t="str">
            <v>X5</v>
          </cell>
          <cell r="F199" t="str">
            <v>A</v>
          </cell>
          <cell r="G199" t="str">
            <v>TECH JERSEY</v>
          </cell>
          <cell r="H199" t="str">
            <v>0026</v>
          </cell>
          <cell r="I199" t="str">
            <v>WHITE</v>
          </cell>
          <cell r="J199" t="str">
            <v>WHITE</v>
          </cell>
          <cell r="L199" t="str">
            <v>LEONARDO</v>
          </cell>
          <cell r="M199" t="str">
            <v>R.BOTMN_BRC</v>
          </cell>
          <cell r="N199" t="str">
            <v>R.BOTMN_BRC0066</v>
          </cell>
          <cell r="O199" t="str">
            <v>TJR0026WHTWHT</v>
          </cell>
          <cell r="P199" t="str">
            <v>R.BOTMN_BRC0066_TJR0026WHTWHT</v>
          </cell>
        </row>
        <row r="200">
          <cell r="D200" t="str">
            <v>LEONARDO / TJR0026BEGBEG</v>
          </cell>
          <cell r="E200" t="str">
            <v>X5</v>
          </cell>
          <cell r="F200" t="str">
            <v>A</v>
          </cell>
          <cell r="G200" t="str">
            <v>TECH JERSEY</v>
          </cell>
          <cell r="H200" t="str">
            <v>0026</v>
          </cell>
          <cell r="I200" t="str">
            <v>BEIGE</v>
          </cell>
          <cell r="J200" t="str">
            <v>BEIGE</v>
          </cell>
          <cell r="L200" t="str">
            <v>LEONARDO</v>
          </cell>
          <cell r="M200" t="str">
            <v>R.BOTMN_BRC</v>
          </cell>
          <cell r="N200" t="str">
            <v>R.BOTMN_BRC0066</v>
          </cell>
          <cell r="O200" t="str">
            <v>TJR0026BEGBEG</v>
          </cell>
          <cell r="P200" t="str">
            <v>R.BOTMN_BRC0066_TJR0026BEGBEG</v>
          </cell>
        </row>
        <row r="201">
          <cell r="D201" t="str">
            <v>LEONARDO / TJR0026BLKBLK</v>
          </cell>
          <cell r="E201" t="str">
            <v>X5</v>
          </cell>
          <cell r="F201" t="str">
            <v>A</v>
          </cell>
          <cell r="G201" t="str">
            <v>TECH JERSEY</v>
          </cell>
          <cell r="H201" t="str">
            <v>0026</v>
          </cell>
          <cell r="I201" t="str">
            <v>BLACK</v>
          </cell>
          <cell r="J201" t="str">
            <v>BLACK</v>
          </cell>
          <cell r="L201" t="str">
            <v>LEONARDO</v>
          </cell>
          <cell r="M201" t="str">
            <v>R.BOTMN_BRC</v>
          </cell>
          <cell r="N201" t="str">
            <v>R.BOTMN_BRC0066</v>
          </cell>
          <cell r="O201" t="str">
            <v>TJR0026BLKBLK</v>
          </cell>
          <cell r="P201" t="str">
            <v>R.BOTMN_BRC0066_TJR0026BLKBLK</v>
          </cell>
        </row>
        <row r="202">
          <cell r="D202" t="str">
            <v>LEONARDO / TJR0026NAVNAV</v>
          </cell>
          <cell r="E202" t="str">
            <v>X5</v>
          </cell>
          <cell r="F202" t="str">
            <v>A</v>
          </cell>
          <cell r="G202" t="str">
            <v>TECH JERSEY</v>
          </cell>
          <cell r="H202" t="str">
            <v>0026</v>
          </cell>
          <cell r="I202" t="str">
            <v>NAVY</v>
          </cell>
          <cell r="J202" t="str">
            <v>NAVY</v>
          </cell>
          <cell r="L202" t="str">
            <v>LEONARDO</v>
          </cell>
          <cell r="M202" t="str">
            <v>R.BOTMN_BRC</v>
          </cell>
          <cell r="N202" t="str">
            <v>R.BOTMN_BRC0066</v>
          </cell>
          <cell r="O202" t="str">
            <v>TJR0026NAVNAV</v>
          </cell>
          <cell r="P202" t="str">
            <v>R.BOTMN_BRC0066_TJR0026NAVNAV</v>
          </cell>
        </row>
        <row r="203">
          <cell r="D203" t="str">
            <v>LEONARDO / TJR0026STGSTG</v>
          </cell>
          <cell r="E203" t="str">
            <v>X5</v>
          </cell>
          <cell r="F203" t="str">
            <v>A</v>
          </cell>
          <cell r="G203" t="str">
            <v>TECH JERSEY</v>
          </cell>
          <cell r="H203" t="str">
            <v>0026</v>
          </cell>
          <cell r="I203" t="str">
            <v>STORM GRAY</v>
          </cell>
          <cell r="J203" t="str">
            <v>STORM GRAY</v>
          </cell>
          <cell r="L203" t="str">
            <v>LEONARDO</v>
          </cell>
          <cell r="M203" t="str">
            <v>R.BOTMN_BRC</v>
          </cell>
          <cell r="N203" t="str">
            <v>R.BOTMN_BRC0066</v>
          </cell>
          <cell r="O203" t="str">
            <v>TJR0026STGSTG</v>
          </cell>
          <cell r="P203" t="str">
            <v>R.BOTMN_BRC0066_TJR0026STGSTG</v>
          </cell>
        </row>
        <row r="204">
          <cell r="D204" t="str">
            <v>LEONARDO / TJR0026TAUTAU</v>
          </cell>
          <cell r="E204" t="str">
            <v>X5</v>
          </cell>
          <cell r="F204" t="str">
            <v>A</v>
          </cell>
          <cell r="G204" t="str">
            <v>TECH JERSEY</v>
          </cell>
          <cell r="H204" t="str">
            <v>0026</v>
          </cell>
          <cell r="I204" t="str">
            <v>TAUPE</v>
          </cell>
          <cell r="J204" t="str">
            <v>TAUPE</v>
          </cell>
          <cell r="L204" t="str">
            <v>LEONARDO</v>
          </cell>
          <cell r="M204" t="str">
            <v>R.BOTMN_BRC</v>
          </cell>
          <cell r="N204" t="str">
            <v>R.BOTMN_BRC0066</v>
          </cell>
          <cell r="O204" t="str">
            <v>TJR0026TAUTAU</v>
          </cell>
          <cell r="P204" t="str">
            <v>R.BOTMN_BRC0066_TJR0026TAUTAU</v>
          </cell>
        </row>
        <row r="205">
          <cell r="D205" t="str">
            <v>ALEA / TJR0027WHTWHT</v>
          </cell>
          <cell r="E205" t="str">
            <v>X5</v>
          </cell>
          <cell r="F205" t="str">
            <v>A</v>
          </cell>
          <cell r="G205" t="str">
            <v>TECH JERSEY</v>
          </cell>
          <cell r="H205" t="str">
            <v>0027</v>
          </cell>
          <cell r="I205" t="str">
            <v>WHITE</v>
          </cell>
          <cell r="J205" t="str">
            <v>WHITE</v>
          </cell>
          <cell r="L205" t="str">
            <v>ALEA</v>
          </cell>
          <cell r="M205" t="str">
            <v>R.BOTWN_BRC</v>
          </cell>
          <cell r="N205" t="str">
            <v>R.BOTWN_BRC0067</v>
          </cell>
          <cell r="O205" t="str">
            <v>TJR0027WHTWHT</v>
          </cell>
          <cell r="P205" t="str">
            <v>R.BOTWN_BRC0067_TJR0027WHTWHT</v>
          </cell>
        </row>
        <row r="206">
          <cell r="D206" t="str">
            <v>ALEA / TJR0027BEGBEG</v>
          </cell>
          <cell r="E206" t="str">
            <v>X5</v>
          </cell>
          <cell r="F206" t="str">
            <v>A</v>
          </cell>
          <cell r="G206" t="str">
            <v>TECH JERSEY</v>
          </cell>
          <cell r="H206" t="str">
            <v>0027</v>
          </cell>
          <cell r="I206" t="str">
            <v>BEIGE</v>
          </cell>
          <cell r="J206" t="str">
            <v>BEIGE</v>
          </cell>
          <cell r="L206" t="str">
            <v>ALEA</v>
          </cell>
          <cell r="M206" t="str">
            <v>R.BOTWN_BRC</v>
          </cell>
          <cell r="N206" t="str">
            <v>R.BOTWN_BRC0067</v>
          </cell>
          <cell r="O206" t="str">
            <v>TJR0027BEGBEG</v>
          </cell>
          <cell r="P206" t="str">
            <v>R.BOTWN_BRC0067_TJR0027BEGBEG</v>
          </cell>
        </row>
        <row r="207">
          <cell r="D207" t="str">
            <v>ALEA / TJR0027BLKBLK</v>
          </cell>
          <cell r="E207" t="str">
            <v>X5</v>
          </cell>
          <cell r="F207" t="str">
            <v>A</v>
          </cell>
          <cell r="G207" t="str">
            <v>TECH JERSEY</v>
          </cell>
          <cell r="H207" t="str">
            <v>0027</v>
          </cell>
          <cell r="I207" t="str">
            <v>BLACK</v>
          </cell>
          <cell r="J207" t="str">
            <v>BLACK</v>
          </cell>
          <cell r="L207" t="str">
            <v>ALEA</v>
          </cell>
          <cell r="M207" t="str">
            <v>R.BOTWN_BRC</v>
          </cell>
          <cell r="N207" t="str">
            <v>R.BOTWN_BRC0067</v>
          </cell>
          <cell r="O207" t="str">
            <v>TJR0027BLKBLK</v>
          </cell>
          <cell r="P207" t="str">
            <v>R.BOTWN_BRC0067_TJR0027BLKBLK</v>
          </cell>
        </row>
        <row r="208">
          <cell r="D208" t="str">
            <v>ALEA / TJR0027NAVNAV</v>
          </cell>
          <cell r="E208" t="str">
            <v>X5</v>
          </cell>
          <cell r="F208" t="str">
            <v>A</v>
          </cell>
          <cell r="G208" t="str">
            <v>TECH JERSEY</v>
          </cell>
          <cell r="H208" t="str">
            <v>0027</v>
          </cell>
          <cell r="I208" t="str">
            <v>NAVY</v>
          </cell>
          <cell r="J208" t="str">
            <v>NAVY</v>
          </cell>
          <cell r="L208" t="str">
            <v>ALEA</v>
          </cell>
          <cell r="M208" t="str">
            <v>R.BOTWN_BRC</v>
          </cell>
          <cell r="N208" t="str">
            <v>R.BOTWN_BRC0067</v>
          </cell>
          <cell r="O208" t="str">
            <v>TJR0027NAVNAV</v>
          </cell>
          <cell r="P208" t="str">
            <v>R.BOTWN_BRC0067_TJR0027NAVNAV</v>
          </cell>
        </row>
        <row r="209">
          <cell r="D209" t="str">
            <v>ALEA / TJR0027DGYDGY</v>
          </cell>
          <cell r="E209" t="str">
            <v>X5</v>
          </cell>
          <cell r="F209" t="str">
            <v>A</v>
          </cell>
          <cell r="G209" t="str">
            <v>TECH JERSEY</v>
          </cell>
          <cell r="H209" t="str">
            <v>0027</v>
          </cell>
          <cell r="I209" t="str">
            <v>DARK GRAY</v>
          </cell>
          <cell r="J209" t="str">
            <v>DARK GRAY</v>
          </cell>
          <cell r="L209" t="str">
            <v>ALEA</v>
          </cell>
          <cell r="M209" t="str">
            <v>R.BOTWN_BRC</v>
          </cell>
          <cell r="N209" t="str">
            <v>R.BOTWN_BRC0067</v>
          </cell>
          <cell r="O209" t="str">
            <v>TJR0027DGYDGY</v>
          </cell>
          <cell r="P209" t="str">
            <v>R.BOTWN_BRC0067_TJR0027DGYDGY</v>
          </cell>
        </row>
        <row r="210">
          <cell r="D210" t="str">
            <v>ALEA / TJR0027TAUTAU</v>
          </cell>
          <cell r="E210" t="str">
            <v>X5</v>
          </cell>
          <cell r="F210" t="str">
            <v>A</v>
          </cell>
          <cell r="G210" t="str">
            <v>TECH JERSEY</v>
          </cell>
          <cell r="H210" t="str">
            <v>0027</v>
          </cell>
          <cell r="I210" t="str">
            <v>TAUPE</v>
          </cell>
          <cell r="J210" t="str">
            <v>TAUPE</v>
          </cell>
          <cell r="L210" t="str">
            <v>ALEA</v>
          </cell>
          <cell r="M210" t="str">
            <v>R.BOTWN_BRC</v>
          </cell>
          <cell r="N210" t="str">
            <v>R.BOTWN_BRC0067</v>
          </cell>
          <cell r="O210" t="str">
            <v>TJR0027TAUTAU</v>
          </cell>
          <cell r="P210" t="str">
            <v>R.BOTWN_BRC0067_TJR0027TAUTAU</v>
          </cell>
        </row>
        <row r="211">
          <cell r="D211" t="str">
            <v>ALEA / TJR0027GRNGRN</v>
          </cell>
          <cell r="E211" t="str">
            <v>X5</v>
          </cell>
          <cell r="F211" t="str">
            <v>A</v>
          </cell>
          <cell r="G211" t="str">
            <v>TECH JERSEY</v>
          </cell>
          <cell r="H211" t="str">
            <v>0027</v>
          </cell>
          <cell r="I211" t="str">
            <v>GREEN</v>
          </cell>
          <cell r="J211" t="str">
            <v>GREEN</v>
          </cell>
          <cell r="L211" t="str">
            <v>ALEA</v>
          </cell>
          <cell r="M211" t="str">
            <v>R.BOTWN_BRC</v>
          </cell>
          <cell r="N211" t="str">
            <v>R.BOTWN_BRC0067</v>
          </cell>
          <cell r="O211" t="str">
            <v>TJR0027GRNGRN</v>
          </cell>
          <cell r="P211" t="str">
            <v>R.BOTWN_BRC0067_TJR0027GRNGRN</v>
          </cell>
        </row>
        <row r="212">
          <cell r="D212" t="str">
            <v>ATLANTIS / TJR0029WHTWHT</v>
          </cell>
          <cell r="E212" t="str">
            <v>X5</v>
          </cell>
          <cell r="F212" t="str">
            <v>A</v>
          </cell>
          <cell r="G212" t="str">
            <v>TECH JERSEY</v>
          </cell>
          <cell r="H212" t="str">
            <v>0029</v>
          </cell>
          <cell r="I212" t="str">
            <v>WHITE</v>
          </cell>
          <cell r="J212" t="str">
            <v>WHITE</v>
          </cell>
          <cell r="L212" t="str">
            <v>ATLANTIS</v>
          </cell>
          <cell r="M212" t="str">
            <v>R.BOTKU_BRC</v>
          </cell>
          <cell r="N212" t="str">
            <v>R.BOTKU_BRC0068</v>
          </cell>
          <cell r="O212" t="str">
            <v>TJR0029WHTWHT</v>
          </cell>
          <cell r="P212" t="str">
            <v>R.BOTKU_BRC0068_TJR0029WHTWHT</v>
          </cell>
        </row>
        <row r="213">
          <cell r="D213" t="str">
            <v>ATLANTIS / TJR0029BLKBLK</v>
          </cell>
          <cell r="E213" t="str">
            <v>X5</v>
          </cell>
          <cell r="F213" t="str">
            <v>A</v>
          </cell>
          <cell r="G213" t="str">
            <v>TECH JERSEY</v>
          </cell>
          <cell r="H213" t="str">
            <v>0029</v>
          </cell>
          <cell r="I213" t="str">
            <v>BLACK</v>
          </cell>
          <cell r="J213" t="str">
            <v>BLACK</v>
          </cell>
          <cell r="L213" t="str">
            <v>ATLANTIS</v>
          </cell>
          <cell r="M213" t="str">
            <v>R.BOTKU_BRC</v>
          </cell>
          <cell r="N213" t="str">
            <v>R.BOTKU_BRC0068</v>
          </cell>
          <cell r="O213" t="str">
            <v>TJR0029BLKBLK</v>
          </cell>
          <cell r="P213" t="str">
            <v>R.BOTKU_BRC0068_TJR0029BLKBLK</v>
          </cell>
        </row>
        <row r="214">
          <cell r="D214" t="str">
            <v>ATLANTIS / TJR0029NAVNAV</v>
          </cell>
          <cell r="E214" t="str">
            <v>X5</v>
          </cell>
          <cell r="F214" t="str">
            <v>A</v>
          </cell>
          <cell r="G214" t="str">
            <v>TECH JERSEY</v>
          </cell>
          <cell r="H214" t="str">
            <v>0029</v>
          </cell>
          <cell r="I214" t="str">
            <v>NAVY</v>
          </cell>
          <cell r="J214" t="str">
            <v>NAVY</v>
          </cell>
          <cell r="L214" t="str">
            <v>ATLANTIS</v>
          </cell>
          <cell r="M214" t="str">
            <v>R.BOTKU_BRC</v>
          </cell>
          <cell r="N214" t="str">
            <v>R.BOTKU_BRC0068</v>
          </cell>
          <cell r="O214" t="str">
            <v>TJR0029NAVNAV</v>
          </cell>
          <cell r="P214" t="str">
            <v>R.BOTKU_BRC0068_TJR0029NAVNAV</v>
          </cell>
        </row>
        <row r="215">
          <cell r="D215" t="str">
            <v>ALLEGRA / TJR0028BLKBLK</v>
          </cell>
          <cell r="E215" t="str">
            <v>X5</v>
          </cell>
          <cell r="F215" t="str">
            <v>A</v>
          </cell>
          <cell r="G215" t="str">
            <v>TECH JERSEY</v>
          </cell>
          <cell r="H215" t="str">
            <v>0028</v>
          </cell>
          <cell r="I215" t="str">
            <v>BLACK</v>
          </cell>
          <cell r="J215" t="str">
            <v>BLACK</v>
          </cell>
          <cell r="L215" t="str">
            <v>ALLEGRA</v>
          </cell>
          <cell r="M215" t="str">
            <v>R.BOTWN_LGN</v>
          </cell>
          <cell r="N215" t="str">
            <v>R.BOTWN_LGN0069</v>
          </cell>
          <cell r="O215" t="str">
            <v>TJR0028BLKBLK</v>
          </cell>
          <cell r="P215" t="str">
            <v>R.BOTWN_LGN0069_TJR0028BLKBLK</v>
          </cell>
        </row>
        <row r="216">
          <cell r="D216" t="str">
            <v>ALLEGRA / TJR0028NAVNAV</v>
          </cell>
          <cell r="E216" t="str">
            <v>X5</v>
          </cell>
          <cell r="F216" t="str">
            <v>A</v>
          </cell>
          <cell r="G216" t="str">
            <v>TECH JERSEY</v>
          </cell>
          <cell r="H216" t="str">
            <v>0028</v>
          </cell>
          <cell r="I216" t="str">
            <v>NAVY</v>
          </cell>
          <cell r="J216" t="str">
            <v>NAVY</v>
          </cell>
          <cell r="L216" t="str">
            <v>ALLEGRA</v>
          </cell>
          <cell r="M216" t="str">
            <v>R.BOTWN_LGN</v>
          </cell>
          <cell r="N216" t="str">
            <v>R.BOTWN_LGN0069</v>
          </cell>
          <cell r="O216" t="str">
            <v>TJR0028NAVNAV</v>
          </cell>
          <cell r="P216" t="str">
            <v>R.BOTWN_LGN0069_TJR0028NAVNAV</v>
          </cell>
        </row>
        <row r="217">
          <cell r="D217" t="str">
            <v>ALLEGRA / TJR0028DGYDGY</v>
          </cell>
          <cell r="E217" t="str">
            <v>X5</v>
          </cell>
          <cell r="F217" t="str">
            <v>A</v>
          </cell>
          <cell r="G217" t="str">
            <v>TECH JERSEY</v>
          </cell>
          <cell r="H217" t="str">
            <v>0028</v>
          </cell>
          <cell r="I217" t="str">
            <v>DARK GRAY</v>
          </cell>
          <cell r="J217" t="str">
            <v>DARK GRAY</v>
          </cell>
          <cell r="L217" t="str">
            <v>ALLEGRA</v>
          </cell>
          <cell r="M217" t="str">
            <v>R.BOTWN_LGN</v>
          </cell>
          <cell r="N217" t="str">
            <v>R.BOTWN_LGN0069</v>
          </cell>
          <cell r="O217" t="str">
            <v>TJR0028DGYDGY</v>
          </cell>
          <cell r="P217" t="str">
            <v>R.BOTWN_LGN0069_TJR0028DGYDGY</v>
          </cell>
        </row>
        <row r="218">
          <cell r="D218" t="str">
            <v>ALLEGRA / TJR0028GRNGRN</v>
          </cell>
          <cell r="E218" t="str">
            <v>X5</v>
          </cell>
          <cell r="F218" t="str">
            <v>A</v>
          </cell>
          <cell r="G218" t="str">
            <v>TECH JERSEY</v>
          </cell>
          <cell r="H218" t="str">
            <v>0028</v>
          </cell>
          <cell r="I218" t="str">
            <v>GREEN</v>
          </cell>
          <cell r="J218" t="str">
            <v>GREEN</v>
          </cell>
          <cell r="L218" t="str">
            <v>ALLEGRA</v>
          </cell>
          <cell r="M218" t="str">
            <v>R.BOTWN_LGN</v>
          </cell>
          <cell r="N218" t="str">
            <v>R.BOTWN_LGN0069</v>
          </cell>
          <cell r="O218" t="str">
            <v>TJR0028GRNGRN</v>
          </cell>
          <cell r="P218" t="str">
            <v>R.BOTWN_LGN0069_TJR0028GRNGRN</v>
          </cell>
        </row>
        <row r="219">
          <cell r="D219" t="str">
            <v>ALLEGRA / TJR0028TAUTAU</v>
          </cell>
          <cell r="E219" t="str">
            <v>X5</v>
          </cell>
          <cell r="F219" t="str">
            <v>A</v>
          </cell>
          <cell r="G219" t="str">
            <v>TECH JERSEY</v>
          </cell>
          <cell r="H219" t="str">
            <v>0028</v>
          </cell>
          <cell r="I219" t="str">
            <v>TAUPE</v>
          </cell>
          <cell r="J219" t="str">
            <v>TAUPE</v>
          </cell>
          <cell r="L219" t="str">
            <v>ALLEGRA</v>
          </cell>
          <cell r="M219" t="str">
            <v>R.BOTWN_LGN</v>
          </cell>
          <cell r="N219" t="str">
            <v>R.BOTWN_LGN0069</v>
          </cell>
          <cell r="O219" t="str">
            <v>TJR0028TAUTAU</v>
          </cell>
          <cell r="P219" t="str">
            <v>R.BOTWN_LGN0069_TJR0028TAUTAU</v>
          </cell>
        </row>
        <row r="220">
          <cell r="D220" t="str">
            <v>LUNA / TJR0028BLKBLK</v>
          </cell>
          <cell r="E220" t="str">
            <v>X5</v>
          </cell>
          <cell r="F220" t="str">
            <v>A</v>
          </cell>
          <cell r="G220" t="str">
            <v>TECH JERSEY</v>
          </cell>
          <cell r="H220" t="str">
            <v>0028</v>
          </cell>
          <cell r="I220" t="str">
            <v>BLACK</v>
          </cell>
          <cell r="J220" t="str">
            <v>BLACK</v>
          </cell>
          <cell r="L220" t="str">
            <v>LUNA</v>
          </cell>
          <cell r="M220" t="str">
            <v>R.BOTKG_LGN</v>
          </cell>
          <cell r="N220" t="str">
            <v>R.BOTKG_LGN0070</v>
          </cell>
          <cell r="O220" t="str">
            <v>TJR0028BLKBLK</v>
          </cell>
          <cell r="P220" t="str">
            <v>R.BOTKG_LGN0070_TJR0028BLKBLK</v>
          </cell>
        </row>
        <row r="221">
          <cell r="D221" t="str">
            <v>LUNA / TJR0028NAVNAV</v>
          </cell>
          <cell r="E221" t="str">
            <v>X5</v>
          </cell>
          <cell r="F221" t="str">
            <v>A</v>
          </cell>
          <cell r="G221" t="str">
            <v>TECH JERSEY</v>
          </cell>
          <cell r="H221" t="str">
            <v>0028</v>
          </cell>
          <cell r="I221" t="str">
            <v>NAVY</v>
          </cell>
          <cell r="J221" t="str">
            <v>NAVY</v>
          </cell>
          <cell r="L221" t="str">
            <v>LUNA</v>
          </cell>
          <cell r="M221" t="str">
            <v>R.BOTKG_LGN</v>
          </cell>
          <cell r="N221" t="str">
            <v>R.BOTKG_LGN0070</v>
          </cell>
          <cell r="O221" t="str">
            <v>TJR0028NAVNAV</v>
          </cell>
          <cell r="P221" t="str">
            <v>R.BOTKG_LGN0070_TJR0028NAVNAV</v>
          </cell>
        </row>
        <row r="222">
          <cell r="D222" t="str">
            <v>LUNA / TJR0028TAUTAU</v>
          </cell>
          <cell r="E222" t="str">
            <v>X5</v>
          </cell>
          <cell r="F222" t="str">
            <v>A</v>
          </cell>
          <cell r="G222" t="str">
            <v>TECH JERSEY</v>
          </cell>
          <cell r="H222" t="str">
            <v>0028</v>
          </cell>
          <cell r="I222" t="str">
            <v>TAUPE</v>
          </cell>
          <cell r="J222" t="str">
            <v>TAUPE</v>
          </cell>
          <cell r="L222" t="str">
            <v>LUNA</v>
          </cell>
          <cell r="M222" t="str">
            <v>R.BOTKG_LGN</v>
          </cell>
          <cell r="N222" t="str">
            <v>R.BOTKG_LGN0070</v>
          </cell>
          <cell r="O222" t="str">
            <v>TJR0028TAUTAU</v>
          </cell>
          <cell r="P222" t="str">
            <v>R.BOTKG_LGN0070_TJR0028TAUTAU</v>
          </cell>
        </row>
        <row r="223">
          <cell r="D223" t="str">
            <v>AREZZO / TJR0026BLKBLK</v>
          </cell>
          <cell r="E223" t="str">
            <v>X5</v>
          </cell>
          <cell r="F223" t="str">
            <v>A</v>
          </cell>
          <cell r="G223" t="str">
            <v>TECH JERSEY</v>
          </cell>
          <cell r="H223" t="str">
            <v>0026</v>
          </cell>
          <cell r="I223" t="str">
            <v>BLACK</v>
          </cell>
          <cell r="J223" t="str">
            <v>BLACK</v>
          </cell>
          <cell r="L223" t="str">
            <v>AREZZO</v>
          </cell>
          <cell r="M223" t="str">
            <v>R.J&amp;TMN_CJK</v>
          </cell>
          <cell r="N223" t="str">
            <v>R.J&amp;TMN_CJK0071</v>
          </cell>
          <cell r="O223" t="str">
            <v>TJR0026BLKBLK</v>
          </cell>
          <cell r="P223" t="str">
            <v>R.J&amp;TMN_CJK0071_TJR0026BLKBLK</v>
          </cell>
        </row>
        <row r="224">
          <cell r="D224" t="str">
            <v>AREZZO / TJR0026DGYDGY</v>
          </cell>
          <cell r="E224" t="str">
            <v>X5</v>
          </cell>
          <cell r="F224" t="str">
            <v>A</v>
          </cell>
          <cell r="G224" t="str">
            <v>TECH JERSEY</v>
          </cell>
          <cell r="H224" t="str">
            <v>0026</v>
          </cell>
          <cell r="I224" t="str">
            <v>DARK GRAY</v>
          </cell>
          <cell r="J224" t="str">
            <v>DARK GRAY</v>
          </cell>
          <cell r="L224" t="str">
            <v>AREZZO</v>
          </cell>
          <cell r="M224" t="str">
            <v>R.J&amp;TMN_CJK</v>
          </cell>
          <cell r="N224" t="str">
            <v>R.J&amp;TMN_CJK0071</v>
          </cell>
          <cell r="O224" t="str">
            <v>TJR0026DGYDGY</v>
          </cell>
          <cell r="P224" t="str">
            <v>R.J&amp;TMN_CJK0071_TJR0026DGYDGY</v>
          </cell>
        </row>
        <row r="225">
          <cell r="D225" t="str">
            <v>GORLA MINORE / TJR0027BLKBLK</v>
          </cell>
          <cell r="E225" t="str">
            <v>X5</v>
          </cell>
          <cell r="F225" t="str">
            <v>A</v>
          </cell>
          <cell r="G225" t="str">
            <v>TECH JERSEY</v>
          </cell>
          <cell r="H225" t="str">
            <v>0027</v>
          </cell>
          <cell r="I225" t="str">
            <v>BLACK</v>
          </cell>
          <cell r="J225" t="str">
            <v>BLACK</v>
          </cell>
          <cell r="L225" t="str">
            <v>GORLA MINORE</v>
          </cell>
          <cell r="M225" t="str">
            <v>R.J&amp;TWN_CJK</v>
          </cell>
          <cell r="N225" t="str">
            <v>R.J&amp;TWN_CJK0072</v>
          </cell>
          <cell r="O225" t="str">
            <v>TJR0027BLKBLK</v>
          </cell>
          <cell r="P225" t="str">
            <v>R.J&amp;TWN_CJK0072_TJR0027BLKBLK</v>
          </cell>
        </row>
        <row r="226">
          <cell r="D226" t="str">
            <v>ZANNONE / SUP0016LGYLGY</v>
          </cell>
          <cell r="E226" t="str">
            <v>X5</v>
          </cell>
          <cell r="F226" t="str">
            <v>S</v>
          </cell>
          <cell r="G226" t="str">
            <v>SUPREME</v>
          </cell>
          <cell r="H226" t="str">
            <v>0016</v>
          </cell>
          <cell r="I226" t="str">
            <v>LIGHT GRAY</v>
          </cell>
          <cell r="J226" t="str">
            <v>LIGHT GRAY</v>
          </cell>
          <cell r="L226" t="str">
            <v>ZANNONE</v>
          </cell>
          <cell r="M226" t="str">
            <v>R.TOPMN_CPL</v>
          </cell>
          <cell r="N226" t="str">
            <v>R.TOPMN_CPL0073</v>
          </cell>
          <cell r="O226" t="str">
            <v>SUP0016LGYLGY</v>
          </cell>
          <cell r="P226" t="str">
            <v>R.TOPMN_CPL0073_SUP0016LGYLGY</v>
          </cell>
        </row>
        <row r="227">
          <cell r="D227" t="str">
            <v>SAN DIEGO / PIQ0015WHTWHT</v>
          </cell>
          <cell r="E227" t="str">
            <v>X5</v>
          </cell>
          <cell r="F227" t="str">
            <v>S</v>
          </cell>
          <cell r="G227" t="str">
            <v>PIQUET</v>
          </cell>
          <cell r="H227" t="str">
            <v>0015</v>
          </cell>
          <cell r="I227" t="str">
            <v>WHITE</v>
          </cell>
          <cell r="J227" t="str">
            <v>WHITE</v>
          </cell>
          <cell r="L227" t="str">
            <v>SAN DIEGO</v>
          </cell>
          <cell r="M227" t="str">
            <v>R.TOPMN_TPL</v>
          </cell>
          <cell r="N227" t="str">
            <v>R.TOPMN_TPL0074</v>
          </cell>
          <cell r="O227" t="str">
            <v>PIQ0015WHTWHT</v>
          </cell>
          <cell r="P227" t="str">
            <v>R.TOPMN_TPL0074_PIQ0015WHTWHT</v>
          </cell>
        </row>
        <row r="228">
          <cell r="D228" t="str">
            <v>SAN DIEGO / PIQ0015NAVNAV</v>
          </cell>
          <cell r="E228" t="str">
            <v>X5</v>
          </cell>
          <cell r="F228" t="str">
            <v>S</v>
          </cell>
          <cell r="G228" t="str">
            <v>PIQUET</v>
          </cell>
          <cell r="H228" t="str">
            <v>0015</v>
          </cell>
          <cell r="I228" t="str">
            <v>NAVY</v>
          </cell>
          <cell r="J228" t="str">
            <v>NAVY</v>
          </cell>
          <cell r="L228" t="str">
            <v>SAN DIEGO</v>
          </cell>
          <cell r="M228" t="str">
            <v>R.TOPMN_TPL</v>
          </cell>
          <cell r="N228" t="str">
            <v>R.TOPMN_TPL0074</v>
          </cell>
          <cell r="O228" t="str">
            <v>PIQ0015NAVNAV</v>
          </cell>
          <cell r="P228" t="str">
            <v>R.TOPMN_TPL0074_PIQ0015NAVNAV</v>
          </cell>
        </row>
        <row r="229">
          <cell r="D229" t="str">
            <v>SAN DIEGO / PIQ0015LGYLGY</v>
          </cell>
          <cell r="E229" t="str">
            <v>X5</v>
          </cell>
          <cell r="F229" t="str">
            <v>S</v>
          </cell>
          <cell r="G229" t="str">
            <v>PIQUET</v>
          </cell>
          <cell r="H229" t="str">
            <v>0015</v>
          </cell>
          <cell r="I229" t="str">
            <v>LIGHT GRAY</v>
          </cell>
          <cell r="J229" t="str">
            <v>LIGHT GRAY</v>
          </cell>
          <cell r="L229" t="str">
            <v>SAN DIEGO</v>
          </cell>
          <cell r="M229" t="str">
            <v>R.TOPMN_TPL</v>
          </cell>
          <cell r="N229" t="str">
            <v>R.TOPMN_TPL0074</v>
          </cell>
          <cell r="O229" t="str">
            <v>PIQ0015LGYLGY</v>
          </cell>
          <cell r="P229" t="str">
            <v>R.TOPMN_TPL0074_PIQ0015LGYLGY</v>
          </cell>
        </row>
        <row r="230">
          <cell r="D230" t="str">
            <v>SAN DIEGO / PIQ0015DGYDGY</v>
          </cell>
          <cell r="E230" t="str">
            <v>X5</v>
          </cell>
          <cell r="F230" t="str">
            <v>S</v>
          </cell>
          <cell r="G230" t="str">
            <v>PIQUET</v>
          </cell>
          <cell r="H230" t="str">
            <v>0015</v>
          </cell>
          <cell r="I230" t="str">
            <v>DARK GRAY</v>
          </cell>
          <cell r="J230" t="str">
            <v>DARK GRAY</v>
          </cell>
          <cell r="L230" t="str">
            <v>SAN DIEGO</v>
          </cell>
          <cell r="M230" t="str">
            <v>R.TOPMN_TPL</v>
          </cell>
          <cell r="N230" t="str">
            <v>R.TOPMN_TPL0074</v>
          </cell>
          <cell r="O230" t="str">
            <v>PIQ0015DGYDGY</v>
          </cell>
          <cell r="P230" t="str">
            <v>R.TOPMN_TPL0074_PIQ0015DGYDGY</v>
          </cell>
        </row>
        <row r="231">
          <cell r="D231" t="str">
            <v>SAN DIEGO / PIQ0015DBLDBL</v>
          </cell>
          <cell r="E231" t="str">
            <v>X5</v>
          </cell>
          <cell r="F231" t="str">
            <v>S</v>
          </cell>
          <cell r="G231" t="str">
            <v>PIQUET</v>
          </cell>
          <cell r="H231" t="str">
            <v>0015</v>
          </cell>
          <cell r="I231" t="str">
            <v>DARK BLUE</v>
          </cell>
          <cell r="J231" t="str">
            <v>DARK BLUE</v>
          </cell>
          <cell r="L231" t="str">
            <v>SAN DIEGO</v>
          </cell>
          <cell r="M231" t="str">
            <v>R.TOPMN_TPL</v>
          </cell>
          <cell r="N231" t="str">
            <v>R.TOPMN_TPL0074</v>
          </cell>
          <cell r="O231" t="str">
            <v>PIQ0015DBLDBL</v>
          </cell>
          <cell r="P231" t="str">
            <v>R.TOPMN_TPL0074_PIQ0015DBLDBL</v>
          </cell>
        </row>
        <row r="232">
          <cell r="D232" t="str">
            <v>MALTA / PIQ0015WHTWHT</v>
          </cell>
          <cell r="E232" t="str">
            <v>X5</v>
          </cell>
          <cell r="F232" t="str">
            <v>S</v>
          </cell>
          <cell r="G232" t="str">
            <v>PIQUET</v>
          </cell>
          <cell r="H232" t="str">
            <v>0015</v>
          </cell>
          <cell r="I232" t="str">
            <v>WHITE</v>
          </cell>
          <cell r="J232" t="str">
            <v>WHITE</v>
          </cell>
          <cell r="L232" t="str">
            <v>MALTA</v>
          </cell>
          <cell r="M232" t="str">
            <v>R.TOPWN_TPL</v>
          </cell>
          <cell r="N232" t="str">
            <v>R.TOPWN_TPL0075</v>
          </cell>
          <cell r="O232" t="str">
            <v>PIQ0015WHTWHT</v>
          </cell>
          <cell r="P232" t="str">
            <v>R.TOPWN_TPL0075_PIQ0015WHTWHT</v>
          </cell>
        </row>
        <row r="233">
          <cell r="D233" t="str">
            <v>MALTA / PIQ0015NAVNAV</v>
          </cell>
          <cell r="E233" t="str">
            <v>X5</v>
          </cell>
          <cell r="F233" t="str">
            <v>S</v>
          </cell>
          <cell r="G233" t="str">
            <v>PIQUET</v>
          </cell>
          <cell r="H233" t="str">
            <v>0015</v>
          </cell>
          <cell r="I233" t="str">
            <v>NAVY</v>
          </cell>
          <cell r="J233" t="str">
            <v>NAVY</v>
          </cell>
          <cell r="L233" t="str">
            <v>MALTA</v>
          </cell>
          <cell r="M233" t="str">
            <v>R.TOPWN_TPL</v>
          </cell>
          <cell r="N233" t="str">
            <v>R.TOPWN_TPL0075</v>
          </cell>
          <cell r="O233" t="str">
            <v>PIQ0015NAVNAV</v>
          </cell>
          <cell r="P233" t="str">
            <v>R.TOPWN_TPL0075_PIQ0015NAVNAV</v>
          </cell>
        </row>
        <row r="234">
          <cell r="D234" t="str">
            <v>MALTA / PIQ0015BLKBLK</v>
          </cell>
          <cell r="E234" t="str">
            <v>X5</v>
          </cell>
          <cell r="F234" t="str">
            <v>S</v>
          </cell>
          <cell r="G234" t="str">
            <v>PIQUET</v>
          </cell>
          <cell r="H234" t="str">
            <v>0015</v>
          </cell>
          <cell r="I234" t="str">
            <v>BLACK</v>
          </cell>
          <cell r="J234" t="str">
            <v>BLACK</v>
          </cell>
          <cell r="L234" t="str">
            <v>MALTA</v>
          </cell>
          <cell r="M234" t="str">
            <v>R.TOPWN_TPL</v>
          </cell>
          <cell r="N234" t="str">
            <v>R.TOPWN_TPL0075</v>
          </cell>
          <cell r="O234" t="str">
            <v>PIQ0015BLKBLK</v>
          </cell>
          <cell r="P234" t="str">
            <v>R.TOPWN_TPL0075_PIQ0015BLKBLK</v>
          </cell>
        </row>
        <row r="235">
          <cell r="D235" t="str">
            <v>MALTA / PIQ0015LILLIL</v>
          </cell>
          <cell r="E235" t="str">
            <v>X5</v>
          </cell>
          <cell r="F235" t="str">
            <v>S</v>
          </cell>
          <cell r="G235" t="str">
            <v>PIQUET</v>
          </cell>
          <cell r="H235" t="str">
            <v>0015</v>
          </cell>
          <cell r="I235" t="str">
            <v>LILAC</v>
          </cell>
          <cell r="J235" t="str">
            <v>LILAC</v>
          </cell>
          <cell r="L235" t="str">
            <v>MALTA</v>
          </cell>
          <cell r="M235" t="str">
            <v>R.TOPWN_TPL</v>
          </cell>
          <cell r="N235" t="str">
            <v>R.TOPWN_TPL0075</v>
          </cell>
          <cell r="O235" t="str">
            <v>PIQ0015LILLIL</v>
          </cell>
          <cell r="P235" t="str">
            <v>R.TOPWN_TPL0075_PIQ0015LILLIL</v>
          </cell>
        </row>
        <row r="236">
          <cell r="D236" t="str">
            <v>MALTA / PIQ0015DGYDGY</v>
          </cell>
          <cell r="E236" t="str">
            <v>X5</v>
          </cell>
          <cell r="F236" t="str">
            <v>S</v>
          </cell>
          <cell r="G236" t="str">
            <v>PIQUET</v>
          </cell>
          <cell r="H236" t="str">
            <v>0015</v>
          </cell>
          <cell r="I236" t="str">
            <v>DARK GRAY</v>
          </cell>
          <cell r="J236" t="str">
            <v>DARK GRAY</v>
          </cell>
          <cell r="L236" t="str">
            <v>MALTA</v>
          </cell>
          <cell r="M236" t="str">
            <v>R.TOPWN_TPL</v>
          </cell>
          <cell r="N236" t="str">
            <v>R.TOPWN_TPL0075</v>
          </cell>
          <cell r="O236" t="str">
            <v>PIQ0015DGYDGY</v>
          </cell>
          <cell r="P236" t="str">
            <v>R.TOPWN_TPL0075_PIQ0015DGYDGY</v>
          </cell>
        </row>
        <row r="237">
          <cell r="D237" t="str">
            <v>BELLA / SUP0030WHTWHT</v>
          </cell>
          <cell r="E237" t="str">
            <v>X5</v>
          </cell>
          <cell r="F237" t="str">
            <v>S</v>
          </cell>
          <cell r="G237" t="str">
            <v>SUPREME</v>
          </cell>
          <cell r="H237" t="str">
            <v>0030</v>
          </cell>
          <cell r="I237" t="str">
            <v>WHITE</v>
          </cell>
          <cell r="J237" t="str">
            <v>WHITE</v>
          </cell>
          <cell r="L237" t="str">
            <v>BELLA</v>
          </cell>
          <cell r="M237" t="str">
            <v>R.TOPWN_TTS</v>
          </cell>
          <cell r="N237" t="str">
            <v>R.TOPWN_TTS0076</v>
          </cell>
          <cell r="O237" t="str">
            <v>SUP0030WHTWHT</v>
          </cell>
          <cell r="P237" t="str">
            <v>R.TOPWN_TTS0076_SUP0030WHTWHT</v>
          </cell>
        </row>
        <row r="238">
          <cell r="D238" t="str">
            <v>BELLA / SUP0030ECRECR</v>
          </cell>
          <cell r="E238" t="str">
            <v>X5</v>
          </cell>
          <cell r="F238" t="str">
            <v>S</v>
          </cell>
          <cell r="G238" t="str">
            <v>SUPREME</v>
          </cell>
          <cell r="H238" t="str">
            <v>0030</v>
          </cell>
          <cell r="I238" t="str">
            <v>ECRU</v>
          </cell>
          <cell r="J238" t="str">
            <v>ECRU</v>
          </cell>
          <cell r="L238" t="str">
            <v>BELLA</v>
          </cell>
          <cell r="M238" t="str">
            <v>R.TOPWN_TTS</v>
          </cell>
          <cell r="N238" t="str">
            <v>R.TOPWN_TTS0076</v>
          </cell>
          <cell r="O238" t="str">
            <v>SUP0030ECRECR</v>
          </cell>
          <cell r="P238" t="str">
            <v>R.TOPWN_TTS0076_SUP0030ECRECR</v>
          </cell>
        </row>
        <row r="239">
          <cell r="D239" t="str">
            <v>BELLA / SUP0030ROZROZ</v>
          </cell>
          <cell r="E239" t="str">
            <v>X5</v>
          </cell>
          <cell r="F239" t="str">
            <v>S</v>
          </cell>
          <cell r="G239" t="str">
            <v>SUPREME</v>
          </cell>
          <cell r="H239" t="str">
            <v>0030</v>
          </cell>
          <cell r="I239" t="str">
            <v>ROSE</v>
          </cell>
          <cell r="J239" t="str">
            <v>ROSE</v>
          </cell>
          <cell r="L239" t="str">
            <v>BELLA</v>
          </cell>
          <cell r="M239" t="str">
            <v>R.TOPWN_TTS</v>
          </cell>
          <cell r="N239" t="str">
            <v>R.TOPWN_TTS0076</v>
          </cell>
          <cell r="O239" t="str">
            <v>SUP0030ROZROZ</v>
          </cell>
          <cell r="P239" t="str">
            <v>R.TOPWN_TTS0076_SUP0030ROZROZ</v>
          </cell>
        </row>
        <row r="240">
          <cell r="D240" t="str">
            <v>BELLA / SUP0030MNKMNK</v>
          </cell>
          <cell r="E240" t="str">
            <v>X5</v>
          </cell>
          <cell r="F240" t="str">
            <v>S</v>
          </cell>
          <cell r="G240" t="str">
            <v>SUPREME</v>
          </cell>
          <cell r="H240" t="str">
            <v>0030</v>
          </cell>
          <cell r="I240" t="str">
            <v>MINK</v>
          </cell>
          <cell r="J240" t="str">
            <v>MINK</v>
          </cell>
          <cell r="L240" t="str">
            <v>BELLA</v>
          </cell>
          <cell r="M240" t="str">
            <v>R.TOPWN_TTS</v>
          </cell>
          <cell r="N240" t="str">
            <v>R.TOPWN_TTS0076</v>
          </cell>
          <cell r="O240" t="str">
            <v>SUP0030MNKMNK</v>
          </cell>
          <cell r="P240" t="str">
            <v>R.TOPWN_TTS0076_SUP0030MNKMNK</v>
          </cell>
        </row>
        <row r="241">
          <cell r="D241" t="str">
            <v>BELLA / SUP0030LGYLGY</v>
          </cell>
          <cell r="E241" t="str">
            <v>X5</v>
          </cell>
          <cell r="F241" t="str">
            <v>S</v>
          </cell>
          <cell r="G241" t="str">
            <v>SUPREME</v>
          </cell>
          <cell r="H241" t="str">
            <v>0030</v>
          </cell>
          <cell r="I241" t="str">
            <v>LIGHT GRAY</v>
          </cell>
          <cell r="J241" t="str">
            <v>LIGHT GRAY</v>
          </cell>
          <cell r="L241" t="str">
            <v>BELLA</v>
          </cell>
          <cell r="M241" t="str">
            <v>R.TOPWN_TTS</v>
          </cell>
          <cell r="N241" t="str">
            <v>R.TOPWN_TTS0076</v>
          </cell>
          <cell r="O241" t="str">
            <v>SUP0030LGYLGY</v>
          </cell>
          <cell r="P241" t="str">
            <v>R.TOPWN_TTS0076_SUP0030LGYLGY</v>
          </cell>
        </row>
        <row r="242">
          <cell r="D242" t="str">
            <v>BELLA / SUP0030ANTANT</v>
          </cell>
          <cell r="E242" t="str">
            <v>X5</v>
          </cell>
          <cell r="F242" t="str">
            <v>S</v>
          </cell>
          <cell r="G242" t="str">
            <v>SUPREME</v>
          </cell>
          <cell r="H242" t="str">
            <v>0030</v>
          </cell>
          <cell r="I242" t="str">
            <v>ANTHRA</v>
          </cell>
          <cell r="J242" t="str">
            <v>ANTHRA</v>
          </cell>
          <cell r="L242" t="str">
            <v>BELLA</v>
          </cell>
          <cell r="M242" t="str">
            <v>R.TOPWN_TTS</v>
          </cell>
          <cell r="N242" t="str">
            <v>R.TOPWN_TTS0076</v>
          </cell>
          <cell r="O242" t="str">
            <v>SUP0030ANTANT</v>
          </cell>
          <cell r="P242" t="str">
            <v>R.TOPWN_TTS0076_SUP0030ANTANT</v>
          </cell>
        </row>
        <row r="243">
          <cell r="D243" t="str">
            <v>BELLA / SUP0030BLKBLK</v>
          </cell>
          <cell r="E243" t="str">
            <v>X5</v>
          </cell>
          <cell r="F243" t="str">
            <v>S</v>
          </cell>
          <cell r="G243" t="str">
            <v>SUPREME</v>
          </cell>
          <cell r="H243" t="str">
            <v>0030</v>
          </cell>
          <cell r="I243" t="str">
            <v>BLACK</v>
          </cell>
          <cell r="J243" t="str">
            <v>BLACK</v>
          </cell>
          <cell r="L243" t="str">
            <v>BELLA</v>
          </cell>
          <cell r="M243" t="str">
            <v>R.TOPWN_TTS</v>
          </cell>
          <cell r="N243" t="str">
            <v>R.TOPWN_TTS0076</v>
          </cell>
          <cell r="O243" t="str">
            <v>SUP0030BLKBLK</v>
          </cell>
          <cell r="P243" t="str">
            <v>R.TOPWN_TTS0076_SUP0030BLKBLK</v>
          </cell>
        </row>
        <row r="244">
          <cell r="D244" t="str">
            <v>VENEZIA / PIQ0015WHTWHT</v>
          </cell>
          <cell r="E244" t="str">
            <v>X5</v>
          </cell>
          <cell r="F244" t="str">
            <v>S</v>
          </cell>
          <cell r="G244" t="str">
            <v>PIQUET</v>
          </cell>
          <cell r="H244" t="str">
            <v>0015</v>
          </cell>
          <cell r="I244" t="str">
            <v>WHITE</v>
          </cell>
          <cell r="J244" t="str">
            <v>WHITE</v>
          </cell>
          <cell r="L244" t="str">
            <v>VENEZIA</v>
          </cell>
          <cell r="M244" t="str">
            <v>R.TOPWN_CPL</v>
          </cell>
          <cell r="N244" t="str">
            <v>R.TOPWN_CPL0077</v>
          </cell>
          <cell r="O244" t="str">
            <v>PIQ0015WHTWHT</v>
          </cell>
          <cell r="P244" t="str">
            <v>R.TOPWN_CPL0077_PIQ0015WHTWHT</v>
          </cell>
        </row>
        <row r="245">
          <cell r="D245" t="str">
            <v>VENEZIA / PIQ0015NAVNAV</v>
          </cell>
          <cell r="E245" t="str">
            <v>X5</v>
          </cell>
          <cell r="F245" t="str">
            <v>S</v>
          </cell>
          <cell r="G245" t="str">
            <v>PIQUET</v>
          </cell>
          <cell r="H245" t="str">
            <v>0015</v>
          </cell>
          <cell r="I245" t="str">
            <v>NAVY</v>
          </cell>
          <cell r="J245" t="str">
            <v>NAVY</v>
          </cell>
          <cell r="L245" t="str">
            <v>VENEZIA</v>
          </cell>
          <cell r="M245" t="str">
            <v>R.TOPWN_CPL</v>
          </cell>
          <cell r="N245" t="str">
            <v>R.TOPWN_CPL0077</v>
          </cell>
          <cell r="O245" t="str">
            <v>PIQ0015NAVNAV</v>
          </cell>
          <cell r="P245" t="str">
            <v>R.TOPWN_CPL0077_PIQ0015NAVNAV</v>
          </cell>
        </row>
        <row r="246">
          <cell r="D246" t="str">
            <v>VERONA / PIQ0015WHTWHT</v>
          </cell>
          <cell r="E246" t="str">
            <v>X5</v>
          </cell>
          <cell r="F246" t="str">
            <v>S</v>
          </cell>
          <cell r="G246" t="str">
            <v>PIQUET</v>
          </cell>
          <cell r="H246" t="str">
            <v>0015</v>
          </cell>
          <cell r="I246" t="str">
            <v>WHITE</v>
          </cell>
          <cell r="J246" t="str">
            <v>WHITE</v>
          </cell>
          <cell r="L246" t="str">
            <v>VERONA</v>
          </cell>
          <cell r="M246" t="str">
            <v>R.TOPWN_CPL</v>
          </cell>
          <cell r="N246" t="str">
            <v>R.TOPWN_CPL0078</v>
          </cell>
          <cell r="O246" t="str">
            <v>PIQ0015WHTWHT</v>
          </cell>
          <cell r="P246" t="str">
            <v>R.TOPWN_CPL0078_PIQ0015WHTWHT</v>
          </cell>
        </row>
        <row r="247">
          <cell r="D247" t="str">
            <v>VERONA / PIQ0015TAUTAU</v>
          </cell>
          <cell r="E247" t="str">
            <v>X5</v>
          </cell>
          <cell r="F247" t="str">
            <v>S</v>
          </cell>
          <cell r="G247" t="str">
            <v>PIQUET</v>
          </cell>
          <cell r="H247" t="str">
            <v>0015</v>
          </cell>
          <cell r="I247" t="str">
            <v>TAUPE</v>
          </cell>
          <cell r="J247" t="str">
            <v>TAUPE</v>
          </cell>
          <cell r="L247" t="str">
            <v>VERONA</v>
          </cell>
          <cell r="M247" t="str">
            <v>R.TOPWN_CPL</v>
          </cell>
          <cell r="N247" t="str">
            <v>R.TOPWN_CPL0078</v>
          </cell>
          <cell r="O247" t="str">
            <v>PIQ0015TAUTAU</v>
          </cell>
          <cell r="P247" t="str">
            <v>R.TOPWN_CPL0078_PIQ0015TAUTAU</v>
          </cell>
        </row>
        <row r="248">
          <cell r="D248" t="str">
            <v>SAVONA-JR / SUP0016PNKPNK</v>
          </cell>
          <cell r="E248" t="str">
            <v>X5</v>
          </cell>
          <cell r="F248" t="str">
            <v>S</v>
          </cell>
          <cell r="G248" t="str">
            <v>SUPREME</v>
          </cell>
          <cell r="H248" t="str">
            <v>0016</v>
          </cell>
          <cell r="I248" t="str">
            <v>PINK</v>
          </cell>
          <cell r="J248" t="str">
            <v>PINK</v>
          </cell>
          <cell r="L248" t="str">
            <v>SAVONA-JR</v>
          </cell>
          <cell r="M248" t="str">
            <v>R.TOPKG_CPL</v>
          </cell>
          <cell r="N248" t="str">
            <v>R.TOPKG_CPL0079</v>
          </cell>
          <cell r="O248" t="str">
            <v>SUP0016PNKPNK</v>
          </cell>
          <cell r="P248" t="str">
            <v>R.TOPKG_CPL0079_SUP0016PNKPNK</v>
          </cell>
        </row>
        <row r="249">
          <cell r="D249" t="str">
            <v>PADOVA-JR / SUP0016MNTMNT</v>
          </cell>
          <cell r="E249" t="str">
            <v>X5</v>
          </cell>
          <cell r="F249" t="str">
            <v>S</v>
          </cell>
          <cell r="G249" t="str">
            <v>SUPREME</v>
          </cell>
          <cell r="H249" t="str">
            <v>0016</v>
          </cell>
          <cell r="I249" t="str">
            <v>MINT</v>
          </cell>
          <cell r="J249" t="str">
            <v>MINT</v>
          </cell>
          <cell r="L249" t="str">
            <v>PADOVA-JR</v>
          </cell>
          <cell r="M249" t="str">
            <v>R.TOPKG_CPL</v>
          </cell>
          <cell r="N249" t="str">
            <v>R.TOPKG_CPL0080</v>
          </cell>
          <cell r="O249" t="str">
            <v>SUP0016MNTMNT</v>
          </cell>
          <cell r="P249" t="str">
            <v>R.TOPKG_CPL0080_SUP0016MNTMNT</v>
          </cell>
        </row>
        <row r="250">
          <cell r="D250" t="str">
            <v>SAN DIEGO-JR / PIQ0015TURTUR</v>
          </cell>
          <cell r="E250" t="str">
            <v>X5</v>
          </cell>
          <cell r="F250" t="str">
            <v>S</v>
          </cell>
          <cell r="G250" t="str">
            <v>PIQUET</v>
          </cell>
          <cell r="H250" t="str">
            <v>0015</v>
          </cell>
          <cell r="I250" t="str">
            <v>TURQUOISE</v>
          </cell>
          <cell r="J250" t="str">
            <v>TURQUOISE</v>
          </cell>
          <cell r="L250" t="str">
            <v>SAN DIEGO-JR</v>
          </cell>
          <cell r="M250" t="str">
            <v>R.TOPKB_TPL</v>
          </cell>
          <cell r="N250" t="str">
            <v>R.TOPKB_TPL0081</v>
          </cell>
          <cell r="O250" t="str">
            <v>PIQ0015TURTUR</v>
          </cell>
          <cell r="P250" t="str">
            <v>R.TOPKB_TPL0081_PIQ0015TURTUR</v>
          </cell>
        </row>
        <row r="251">
          <cell r="D251" t="str">
            <v>SAN DIEGO-JR / PIQ0015NAVNAV</v>
          </cell>
          <cell r="E251" t="str">
            <v>X5</v>
          </cell>
          <cell r="F251" t="str">
            <v>S</v>
          </cell>
          <cell r="G251" t="str">
            <v>PIQUET</v>
          </cell>
          <cell r="H251" t="str">
            <v>0015</v>
          </cell>
          <cell r="I251" t="str">
            <v>NAVY</v>
          </cell>
          <cell r="J251" t="str">
            <v>NAVY</v>
          </cell>
          <cell r="L251" t="str">
            <v>SAN DIEGO-JR</v>
          </cell>
          <cell r="M251" t="str">
            <v>R.TOPKB_TPL</v>
          </cell>
          <cell r="N251" t="str">
            <v>R.TOPKB_TPL0081</v>
          </cell>
          <cell r="O251" t="str">
            <v>PIQ0015NAVNAV</v>
          </cell>
          <cell r="P251" t="str">
            <v>R.TOPKB_TPL0081_PIQ0015NAVNAV</v>
          </cell>
        </row>
        <row r="252">
          <cell r="D252" t="str">
            <v>MALTA-JR / PIQ0015NAVNAV</v>
          </cell>
          <cell r="E252" t="str">
            <v>X5</v>
          </cell>
          <cell r="F252" t="str">
            <v>S</v>
          </cell>
          <cell r="G252" t="str">
            <v>PIQUET</v>
          </cell>
          <cell r="H252" t="str">
            <v>0015</v>
          </cell>
          <cell r="I252" t="str">
            <v>NAVY</v>
          </cell>
          <cell r="J252" t="str">
            <v>NAVY</v>
          </cell>
          <cell r="L252" t="str">
            <v>MALTA-JR</v>
          </cell>
          <cell r="M252" t="str">
            <v>R.TOPKG_TPL</v>
          </cell>
          <cell r="N252" t="str">
            <v>R.TOPKG_TPL0082</v>
          </cell>
          <cell r="O252" t="str">
            <v>PIQ0015NAVNAV</v>
          </cell>
          <cell r="P252" t="str">
            <v>R.TOPKG_TPL0082_PIQ0015NAVNAV</v>
          </cell>
        </row>
        <row r="253">
          <cell r="D253" t="str">
            <v>MALTA-JR / PIQ0015PNKPNK</v>
          </cell>
          <cell r="E253" t="str">
            <v>X5</v>
          </cell>
          <cell r="F253" t="str">
            <v>S</v>
          </cell>
          <cell r="G253" t="str">
            <v>PIQUET</v>
          </cell>
          <cell r="H253" t="str">
            <v>0015</v>
          </cell>
          <cell r="I253" t="str">
            <v>PINK</v>
          </cell>
          <cell r="J253" t="str">
            <v>PINK</v>
          </cell>
          <cell r="L253" t="str">
            <v>MALTA-JR</v>
          </cell>
          <cell r="M253" t="str">
            <v>R.TOPKG_TPL</v>
          </cell>
          <cell r="N253" t="str">
            <v>R.TOPKG_TPL0082</v>
          </cell>
          <cell r="O253" t="str">
            <v>PIQ0015PNKPNK</v>
          </cell>
          <cell r="P253" t="str">
            <v>R.TOPKG_TPL0082_PIQ0015PNKPNK</v>
          </cell>
        </row>
        <row r="254">
          <cell r="D254" t="str">
            <v>OXFORD / KNT0000WHTWHT</v>
          </cell>
          <cell r="E254" t="str">
            <v>X5</v>
          </cell>
          <cell r="F254" t="str">
            <v>A</v>
          </cell>
          <cell r="G254" t="str">
            <v>KNIT</v>
          </cell>
          <cell r="H254" t="str">
            <v>0000</v>
          </cell>
          <cell r="I254" t="str">
            <v>WHITE</v>
          </cell>
          <cell r="J254" t="str">
            <v>WHITE</v>
          </cell>
          <cell r="L254" t="str">
            <v>OXFORD</v>
          </cell>
          <cell r="M254" t="str">
            <v>A.RACMN_TIE</v>
          </cell>
          <cell r="N254" t="str">
            <v>A.RACMN_TIE0083</v>
          </cell>
          <cell r="O254" t="str">
            <v>KNT0000WHTWHT</v>
          </cell>
          <cell r="P254" t="str">
            <v>A.RACMN_TIE0083_KNT0000WHTWHT</v>
          </cell>
        </row>
        <row r="255">
          <cell r="D255" t="str">
            <v>CAPPA / TJR0031BLKBLK</v>
          </cell>
          <cell r="E255" t="str">
            <v>X5</v>
          </cell>
          <cell r="F255" t="str">
            <v>A</v>
          </cell>
          <cell r="G255" t="str">
            <v>TECH JERSEY</v>
          </cell>
          <cell r="H255" t="str">
            <v>0031</v>
          </cell>
          <cell r="I255" t="str">
            <v>BLACK</v>
          </cell>
          <cell r="J255" t="str">
            <v>BLACK</v>
          </cell>
          <cell r="L255" t="str">
            <v>CAPPA</v>
          </cell>
          <cell r="M255" t="str">
            <v>H.FLYFL_EAR</v>
          </cell>
          <cell r="N255" t="str">
            <v>H.FLYFL_EAR0084</v>
          </cell>
          <cell r="O255" t="str">
            <v>TJR0031BLKBLK</v>
          </cell>
          <cell r="P255" t="str">
            <v>H.FLYFL_EAR0084_TJR0031BLKBLK</v>
          </cell>
        </row>
        <row r="256">
          <cell r="D256" t="str">
            <v>CAPPA / TJR0031NAVNAV</v>
          </cell>
          <cell r="E256" t="str">
            <v>X5</v>
          </cell>
          <cell r="F256" t="str">
            <v>A</v>
          </cell>
          <cell r="G256" t="str">
            <v>TECH JERSEY</v>
          </cell>
          <cell r="H256" t="str">
            <v>0031</v>
          </cell>
          <cell r="I256" t="str">
            <v>NAVY</v>
          </cell>
          <cell r="J256" t="str">
            <v>NAVY</v>
          </cell>
          <cell r="L256" t="str">
            <v>CAPPA</v>
          </cell>
          <cell r="M256" t="str">
            <v>H.FLYFL_EAR</v>
          </cell>
          <cell r="N256" t="str">
            <v>H.FLYFL_EAR0084</v>
          </cell>
          <cell r="O256" t="str">
            <v>TJR0031NAVNAV</v>
          </cell>
          <cell r="P256" t="str">
            <v>H.FLYFL_EAR0084_TJR0031NAVNAV</v>
          </cell>
        </row>
        <row r="257">
          <cell r="D257" t="str">
            <v>CAPPA-P / TJR0031BLKBLK</v>
          </cell>
          <cell r="E257" t="str">
            <v>X5</v>
          </cell>
          <cell r="F257" t="str">
            <v>A</v>
          </cell>
          <cell r="G257" t="str">
            <v>TECH JERSEY</v>
          </cell>
          <cell r="H257" t="str">
            <v>0031</v>
          </cell>
          <cell r="I257" t="str">
            <v>BLACK</v>
          </cell>
          <cell r="J257" t="str">
            <v>BLACK</v>
          </cell>
          <cell r="L257" t="str">
            <v>CAPPA-P</v>
          </cell>
          <cell r="M257" t="str">
            <v>H.FLYPN_EAR</v>
          </cell>
          <cell r="N257" t="str">
            <v>H.FLYPN_EAR0085</v>
          </cell>
          <cell r="O257" t="str">
            <v>TJR0031BLKBLK</v>
          </cell>
          <cell r="P257" t="str">
            <v>H.FLYPN_EAR0085_TJR0031BLKBLK</v>
          </cell>
        </row>
        <row r="258">
          <cell r="D258" t="str">
            <v>CAPPA-P / TJR0031NAVNAV</v>
          </cell>
          <cell r="E258" t="str">
            <v>X5</v>
          </cell>
          <cell r="F258" t="str">
            <v>A</v>
          </cell>
          <cell r="G258" t="str">
            <v>TECH JERSEY</v>
          </cell>
          <cell r="H258" t="str">
            <v>0031</v>
          </cell>
          <cell r="I258" t="str">
            <v>NAVY</v>
          </cell>
          <cell r="J258" t="str">
            <v>NAVY</v>
          </cell>
          <cell r="L258" t="str">
            <v>CAPPA-P</v>
          </cell>
          <cell r="M258" t="str">
            <v>H.FLYPN_EAR</v>
          </cell>
          <cell r="N258" t="str">
            <v>H.FLYPN_EAR0085</v>
          </cell>
          <cell r="O258" t="str">
            <v>TJR0031NAVNAV</v>
          </cell>
          <cell r="P258" t="str">
            <v>H.FLYPN_EAR0085_TJR0031NAVNAV</v>
          </cell>
        </row>
        <row r="259">
          <cell r="D259" t="str">
            <v>TORONTO-P / FLC0001NAVGLD</v>
          </cell>
          <cell r="E259" t="str">
            <v>X1</v>
          </cell>
          <cell r="F259" t="str">
            <v>W</v>
          </cell>
          <cell r="G259" t="str">
            <v>FLEECE</v>
          </cell>
          <cell r="H259" t="str">
            <v>0001</v>
          </cell>
          <cell r="I259" t="str">
            <v>NAVY</v>
          </cell>
          <cell r="J259" t="str">
            <v>GOLD</v>
          </cell>
          <cell r="L259" t="str">
            <v>TORONTO-P</v>
          </cell>
          <cell r="M259" t="str">
            <v>H.RUGPN_FLC</v>
          </cell>
          <cell r="N259" t="str">
            <v>H.RUGPN_FLC0086</v>
          </cell>
          <cell r="O259" t="str">
            <v>FLC0001NAVGLD</v>
          </cell>
          <cell r="P259" t="str">
            <v>H.RUGPN_FLC0086_FLC0001NAVGLD</v>
          </cell>
        </row>
        <row r="260">
          <cell r="D260" t="str">
            <v>TORONTO-P / FLC0001PURGLD</v>
          </cell>
          <cell r="E260" t="str">
            <v>X1</v>
          </cell>
          <cell r="F260" t="str">
            <v>W</v>
          </cell>
          <cell r="G260" t="str">
            <v>FLEECE</v>
          </cell>
          <cell r="H260" t="str">
            <v>0001</v>
          </cell>
          <cell r="I260" t="str">
            <v>PURPLE</v>
          </cell>
          <cell r="J260" t="str">
            <v>GOLD</v>
          </cell>
          <cell r="L260" t="str">
            <v>TORONTO-P</v>
          </cell>
          <cell r="M260" t="str">
            <v>H.RUGPN_FLC</v>
          </cell>
          <cell r="N260" t="str">
            <v>H.RUGPN_FLC0086</v>
          </cell>
          <cell r="O260" t="str">
            <v>FLC0001PURGLD</v>
          </cell>
          <cell r="P260" t="str">
            <v>H.RUGPN_FLC0086_FLC0001PURGLD</v>
          </cell>
        </row>
        <row r="261">
          <cell r="D261" t="str">
            <v>TORONTO-P / FLC0001GRNNAV</v>
          </cell>
          <cell r="E261" t="str">
            <v>X1</v>
          </cell>
          <cell r="F261" t="str">
            <v>W</v>
          </cell>
          <cell r="G261" t="str">
            <v>FLEECE</v>
          </cell>
          <cell r="H261" t="str">
            <v>0001</v>
          </cell>
          <cell r="I261" t="str">
            <v>GREEN</v>
          </cell>
          <cell r="J261" t="str">
            <v>NAVY</v>
          </cell>
          <cell r="L261" t="str">
            <v>TORONTO-P</v>
          </cell>
          <cell r="M261" t="str">
            <v>H.RUGPN_FLC</v>
          </cell>
          <cell r="N261" t="str">
            <v>H.RUGPN_FLC0086</v>
          </cell>
          <cell r="O261" t="str">
            <v>FLC0001GRNNAV</v>
          </cell>
          <cell r="P261" t="str">
            <v>H.RUGPN_FLC0086_FLC0001GRNNAV</v>
          </cell>
        </row>
        <row r="262">
          <cell r="D262" t="str">
            <v>TORONTO-P / FLC0001BLKRGL</v>
          </cell>
          <cell r="E262" t="str">
            <v>X1</v>
          </cell>
          <cell r="F262" t="str">
            <v>W</v>
          </cell>
          <cell r="G262" t="str">
            <v>FLEECE</v>
          </cell>
          <cell r="H262" t="str">
            <v>0001</v>
          </cell>
          <cell r="I262" t="str">
            <v>BLACK</v>
          </cell>
          <cell r="J262" t="str">
            <v>ROSE GOLD</v>
          </cell>
          <cell r="L262" t="str">
            <v>TORONTO-P</v>
          </cell>
          <cell r="M262" t="str">
            <v>H.RUGPN_FLC</v>
          </cell>
          <cell r="N262" t="str">
            <v>H.RUGPN_FLC0086</v>
          </cell>
          <cell r="O262" t="str">
            <v>FLC0001BLKRGL</v>
          </cell>
          <cell r="P262" t="str">
            <v>H.RUGPN_FLC0086_FLC0001BLKRGL</v>
          </cell>
        </row>
        <row r="263">
          <cell r="D263" t="str">
            <v>TORONTO-P / FLC0001REDGLD</v>
          </cell>
          <cell r="E263" t="str">
            <v>X1</v>
          </cell>
          <cell r="F263" t="str">
            <v>W</v>
          </cell>
          <cell r="G263" t="str">
            <v>FLEECE</v>
          </cell>
          <cell r="H263" t="str">
            <v>0001</v>
          </cell>
          <cell r="I263" t="str">
            <v>RED</v>
          </cell>
          <cell r="J263" t="str">
            <v>GOLD</v>
          </cell>
          <cell r="L263" t="str">
            <v>TORONTO-P</v>
          </cell>
          <cell r="M263" t="str">
            <v>H.RUGPN_FLC</v>
          </cell>
          <cell r="N263" t="str">
            <v>H.RUGPN_FLC0086</v>
          </cell>
          <cell r="O263" t="str">
            <v>FLC0001REDGLD</v>
          </cell>
          <cell r="P263" t="str">
            <v>H.RUGPN_FLC0086_FLC0001REDGLD</v>
          </cell>
        </row>
        <row r="264">
          <cell r="D264" t="str">
            <v>TORONTO-P / FLC0001BORGLD</v>
          </cell>
          <cell r="E264" t="str">
            <v>X1</v>
          </cell>
          <cell r="F264" t="str">
            <v>W</v>
          </cell>
          <cell r="G264" t="str">
            <v>FLEECE</v>
          </cell>
          <cell r="H264" t="str">
            <v>0001</v>
          </cell>
          <cell r="I264" t="str">
            <v>BORDEAUX</v>
          </cell>
          <cell r="J264" t="str">
            <v>GOLD</v>
          </cell>
          <cell r="L264" t="str">
            <v>TORONTO-P</v>
          </cell>
          <cell r="M264" t="str">
            <v>H.RUGPN_FLC</v>
          </cell>
          <cell r="N264" t="str">
            <v>H.RUGPN_FLC0086</v>
          </cell>
          <cell r="O264" t="str">
            <v>FLC0001BORGLD</v>
          </cell>
          <cell r="P264" t="str">
            <v>H.RUGPN_FLC0086_FLC0001BORGLD</v>
          </cell>
        </row>
        <row r="265">
          <cell r="D265" t="str">
            <v>TORONTO-P / FLC0001LILWHT</v>
          </cell>
          <cell r="E265" t="str">
            <v>X1</v>
          </cell>
          <cell r="F265" t="str">
            <v>W</v>
          </cell>
          <cell r="G265" t="str">
            <v>FLEECE</v>
          </cell>
          <cell r="H265" t="str">
            <v>0001</v>
          </cell>
          <cell r="I265" t="str">
            <v>LILAC</v>
          </cell>
          <cell r="J265" t="str">
            <v>WHITE</v>
          </cell>
          <cell r="L265" t="str">
            <v>TORONTO-P</v>
          </cell>
          <cell r="M265" t="str">
            <v>H.RUGPN_FLC</v>
          </cell>
          <cell r="N265" t="str">
            <v>H.RUGPN_FLC0086</v>
          </cell>
          <cell r="O265" t="str">
            <v>FLC0001LILWHT</v>
          </cell>
          <cell r="P265" t="str">
            <v>H.RUGPN_FLC0086_FLC0001LILWHT</v>
          </cell>
        </row>
        <row r="266">
          <cell r="D266" t="str">
            <v>TORONTO-P / FLC0001BLKGLD</v>
          </cell>
          <cell r="E266" t="str">
            <v>X1</v>
          </cell>
          <cell r="F266" t="str">
            <v>W</v>
          </cell>
          <cell r="G266" t="str">
            <v>FLEECE</v>
          </cell>
          <cell r="H266" t="str">
            <v>0001</v>
          </cell>
          <cell r="I266" t="str">
            <v>BLACK</v>
          </cell>
          <cell r="J266" t="str">
            <v>GOLD</v>
          </cell>
          <cell r="L266" t="str">
            <v>TORONTO-P</v>
          </cell>
          <cell r="M266" t="str">
            <v>H.RUGPN_FLC</v>
          </cell>
          <cell r="N266" t="str">
            <v>H.RUGPN_FLC0086</v>
          </cell>
          <cell r="O266" t="str">
            <v>FLC0001BLKGLD</v>
          </cell>
          <cell r="P266" t="str">
            <v>H.RUGPN_FLC0086_FLC0001BLKGLD</v>
          </cell>
        </row>
        <row r="267">
          <cell r="D267" t="str">
            <v>TORONTO-P / FLC0001NAVRED</v>
          </cell>
          <cell r="E267" t="str">
            <v>X1</v>
          </cell>
          <cell r="F267" t="str">
            <v>W</v>
          </cell>
          <cell r="G267" t="str">
            <v>FLEECE</v>
          </cell>
          <cell r="H267" t="str">
            <v>0001</v>
          </cell>
          <cell r="I267" t="str">
            <v>NAVY</v>
          </cell>
          <cell r="J267" t="str">
            <v>RED</v>
          </cell>
          <cell r="L267" t="str">
            <v>TORONTO-P</v>
          </cell>
          <cell r="M267" t="str">
            <v>H.RUGPN_FLC</v>
          </cell>
          <cell r="N267" t="str">
            <v>H.RUGPN_FLC0086</v>
          </cell>
          <cell r="O267" t="str">
            <v>FLC0001NAVRED</v>
          </cell>
          <cell r="P267" t="str">
            <v>H.RUGPN_FLC0086_FLC0001NAVRED</v>
          </cell>
        </row>
        <row r="268">
          <cell r="D268" t="str">
            <v>TORONTO-P / FLC0001REDWHT</v>
          </cell>
          <cell r="E268" t="str">
            <v>X1</v>
          </cell>
          <cell r="F268" t="str">
            <v>W</v>
          </cell>
          <cell r="G268" t="str">
            <v>FLEECE</v>
          </cell>
          <cell r="H268" t="str">
            <v>0001</v>
          </cell>
          <cell r="I268" t="str">
            <v>RED</v>
          </cell>
          <cell r="J268" t="str">
            <v>WHITE</v>
          </cell>
          <cell r="L268" t="str">
            <v>TORONTO-P</v>
          </cell>
          <cell r="M268" t="str">
            <v>H.RUGPN_FLC</v>
          </cell>
          <cell r="N268" t="str">
            <v>H.RUGPN_FLC0086</v>
          </cell>
          <cell r="O268" t="str">
            <v>FLC0001REDWHT</v>
          </cell>
          <cell r="P268" t="str">
            <v>H.RUGPN_FLC0086_FLC0001REDWHT</v>
          </cell>
        </row>
        <row r="269">
          <cell r="D269" t="str">
            <v>WINDSOR-P / FLC0001BRWRGL</v>
          </cell>
          <cell r="E269" t="str">
            <v>X2</v>
          </cell>
          <cell r="F269" t="str">
            <v>W</v>
          </cell>
          <cell r="G269" t="str">
            <v>FLEECE</v>
          </cell>
          <cell r="H269" t="str">
            <v>0001</v>
          </cell>
          <cell r="I269" t="str">
            <v>BROWN</v>
          </cell>
          <cell r="J269" t="str">
            <v>ROSE GOLD</v>
          </cell>
          <cell r="L269" t="str">
            <v>WINDSOR-P</v>
          </cell>
          <cell r="M269" t="str">
            <v>H.RUGPN_FLC</v>
          </cell>
          <cell r="N269" t="str">
            <v>H.RUGPN_FLC0087</v>
          </cell>
          <cell r="O269" t="str">
            <v>FLC0001BRWRGL</v>
          </cell>
          <cell r="P269" t="str">
            <v>H.RUGPN_FLC0087_FLC0001BRWRGL</v>
          </cell>
        </row>
        <row r="270">
          <cell r="D270" t="str">
            <v>WINDSOR-P / FLC0001ELBORG</v>
          </cell>
          <cell r="E270" t="str">
            <v>X2</v>
          </cell>
          <cell r="F270" t="str">
            <v>W</v>
          </cell>
          <cell r="G270" t="str">
            <v>FLEECE</v>
          </cell>
          <cell r="H270" t="str">
            <v>0001</v>
          </cell>
          <cell r="I270" t="str">
            <v>ELECTRIC BLUE</v>
          </cell>
          <cell r="J270" t="str">
            <v>ORANGE</v>
          </cell>
          <cell r="L270" t="str">
            <v>WINDSOR-P</v>
          </cell>
          <cell r="M270" t="str">
            <v>H.RUGPN_FLC</v>
          </cell>
          <cell r="N270" t="str">
            <v>H.RUGPN_FLC0087</v>
          </cell>
          <cell r="O270" t="str">
            <v>FLC0001ELBORG</v>
          </cell>
          <cell r="P270" t="str">
            <v>H.RUGPN_FLC0087_FLC0001ELBORG</v>
          </cell>
        </row>
        <row r="271">
          <cell r="D271" t="str">
            <v>DUBLIN-P / KNT0002MTCNAV</v>
          </cell>
          <cell r="E271" t="str">
            <v>X3</v>
          </cell>
          <cell r="F271" t="str">
            <v>W</v>
          </cell>
          <cell r="G271" t="str">
            <v>KNIT</v>
          </cell>
          <cell r="H271" t="str">
            <v>0002</v>
          </cell>
          <cell r="I271" t="str">
            <v>MULTI-COLOR CHECK</v>
          </cell>
          <cell r="J271" t="str">
            <v>NAVY</v>
          </cell>
          <cell r="L271" t="str">
            <v>DUBLIN-P</v>
          </cell>
          <cell r="M271" t="str">
            <v>H.RUGPN_COO</v>
          </cell>
          <cell r="N271" t="str">
            <v>H.RUGPN_COO0088</v>
          </cell>
          <cell r="O271" t="str">
            <v>KNT0002MTCNAV</v>
          </cell>
          <cell r="P271" t="str">
            <v>H.RUGPN_COO0088_KNT0002MTCNAV</v>
          </cell>
        </row>
        <row r="272">
          <cell r="D272" t="str">
            <v>YORK-P / FLC0001GRNNAV</v>
          </cell>
          <cell r="E272" t="str">
            <v>X3</v>
          </cell>
          <cell r="F272" t="str">
            <v>W</v>
          </cell>
          <cell r="G272" t="str">
            <v>FLEECE</v>
          </cell>
          <cell r="H272" t="str">
            <v>0001</v>
          </cell>
          <cell r="I272" t="str">
            <v>GREEN</v>
          </cell>
          <cell r="J272" t="str">
            <v>NAVY</v>
          </cell>
          <cell r="L272" t="str">
            <v>YORK-P</v>
          </cell>
          <cell r="M272" t="str">
            <v>H.RUGPN_FLC</v>
          </cell>
          <cell r="N272" t="str">
            <v>H.RUGPN_FLC0089</v>
          </cell>
          <cell r="O272" t="str">
            <v>FLC0001GRNNAV</v>
          </cell>
          <cell r="P272" t="str">
            <v>H.RUGPN_FLC0089_FLC0001GRNNAV</v>
          </cell>
        </row>
        <row r="273">
          <cell r="D273" t="str">
            <v>YORK-P / FLC0001NAVBOR</v>
          </cell>
          <cell r="E273" t="str">
            <v>X3</v>
          </cell>
          <cell r="F273" t="str">
            <v>W</v>
          </cell>
          <cell r="G273" t="str">
            <v>FLEECE</v>
          </cell>
          <cell r="H273" t="str">
            <v>0001</v>
          </cell>
          <cell r="I273" t="str">
            <v>NAVY</v>
          </cell>
          <cell r="J273" t="str">
            <v>BORDEAUX</v>
          </cell>
          <cell r="L273" t="str">
            <v>YORK-P</v>
          </cell>
          <cell r="M273" t="str">
            <v>H.RUGPN_FLC</v>
          </cell>
          <cell r="N273" t="str">
            <v>H.RUGPN_FLC0089</v>
          </cell>
          <cell r="O273" t="str">
            <v>FLC0001NAVBOR</v>
          </cell>
          <cell r="P273" t="str">
            <v>H.RUGPN_FLC0089_FLC0001NAVBOR</v>
          </cell>
        </row>
        <row r="274">
          <cell r="D274" t="str">
            <v>ALASKA-P / RPS0003BLKBLK</v>
          </cell>
          <cell r="E274" t="str">
            <v>X4</v>
          </cell>
          <cell r="F274" t="str">
            <v>W</v>
          </cell>
          <cell r="G274" t="str">
            <v>RAINPROOF SHELL</v>
          </cell>
          <cell r="H274" t="str">
            <v>0003</v>
          </cell>
          <cell r="I274" t="str">
            <v>BLACK</v>
          </cell>
          <cell r="J274" t="str">
            <v>BLACK</v>
          </cell>
          <cell r="L274" t="str">
            <v>ALASKA-P</v>
          </cell>
          <cell r="M274" t="str">
            <v>H.RUGPN_STR</v>
          </cell>
          <cell r="N274" t="str">
            <v>H.RUGPN_STR0090</v>
          </cell>
          <cell r="O274" t="str">
            <v>RPS0003BLKBLK</v>
          </cell>
          <cell r="P274" t="str">
            <v>H.RUGPN_STR0090_RPS0003BLKBLK</v>
          </cell>
        </row>
        <row r="275">
          <cell r="D275" t="str">
            <v>ALASKA-P / RPS0003NAVNAV</v>
          </cell>
          <cell r="E275" t="str">
            <v>X4</v>
          </cell>
          <cell r="F275" t="str">
            <v>W</v>
          </cell>
          <cell r="G275" t="str">
            <v>RAINPROOF SHELL</v>
          </cell>
          <cell r="H275" t="str">
            <v>0003</v>
          </cell>
          <cell r="I275" t="str">
            <v>NAVY</v>
          </cell>
          <cell r="J275" t="str">
            <v>NAVY</v>
          </cell>
          <cell r="L275" t="str">
            <v>ALASKA-P</v>
          </cell>
          <cell r="M275" t="str">
            <v>H.RUGPN_STR</v>
          </cell>
          <cell r="N275" t="str">
            <v>H.RUGPN_STR0090</v>
          </cell>
          <cell r="O275" t="str">
            <v>RPS0003NAVNAV</v>
          </cell>
          <cell r="P275" t="str">
            <v>H.RUGPN_STR0090_RPS0003NAVNAV</v>
          </cell>
        </row>
        <row r="276">
          <cell r="D276" t="str">
            <v>ALASKA-P / RPS0003BORBOR</v>
          </cell>
          <cell r="E276" t="str">
            <v>X4</v>
          </cell>
          <cell r="F276" t="str">
            <v>W</v>
          </cell>
          <cell r="G276" t="str">
            <v>RAINPROOF SHELL</v>
          </cell>
          <cell r="H276" t="str">
            <v>0003</v>
          </cell>
          <cell r="I276" t="str">
            <v>BORDEAUX</v>
          </cell>
          <cell r="J276" t="str">
            <v>BORDEAUX</v>
          </cell>
          <cell r="L276" t="str">
            <v>ALASKA-P</v>
          </cell>
          <cell r="M276" t="str">
            <v>H.RUGPN_STR</v>
          </cell>
          <cell r="N276" t="str">
            <v>H.RUGPN_STR0090</v>
          </cell>
          <cell r="O276" t="str">
            <v>RPS0003BORBOR</v>
          </cell>
          <cell r="P276" t="str">
            <v>H.RUGPN_STR0090_RPS0003BORBOR</v>
          </cell>
        </row>
        <row r="277">
          <cell r="D277" t="str">
            <v>ALASKA-P / RPS0003ELBELB</v>
          </cell>
          <cell r="E277" t="str">
            <v>X4</v>
          </cell>
          <cell r="F277" t="str">
            <v>W</v>
          </cell>
          <cell r="G277" t="str">
            <v>RAINPROOF SHELL</v>
          </cell>
          <cell r="H277" t="str">
            <v>0003</v>
          </cell>
          <cell r="I277" t="str">
            <v>ELECTRIC BLUE</v>
          </cell>
          <cell r="J277" t="str">
            <v>ELECTRIC BLUE</v>
          </cell>
          <cell r="L277" t="str">
            <v>ALASKA-P</v>
          </cell>
          <cell r="M277" t="str">
            <v>H.RUGPN_STR</v>
          </cell>
          <cell r="N277" t="str">
            <v>H.RUGPN_STR0090</v>
          </cell>
          <cell r="O277" t="str">
            <v>RPS0003ELBELB</v>
          </cell>
          <cell r="P277" t="str">
            <v>H.RUGPN_STR0090_RPS0003ELBELB</v>
          </cell>
        </row>
        <row r="278">
          <cell r="D278" t="str">
            <v>ALASKA-P / RPS0003GRNGRN</v>
          </cell>
          <cell r="E278" t="str">
            <v>X4</v>
          </cell>
          <cell r="F278" t="str">
            <v>W</v>
          </cell>
          <cell r="G278" t="str">
            <v>RAINPROOF SHELL</v>
          </cell>
          <cell r="H278" t="str">
            <v>0003</v>
          </cell>
          <cell r="I278" t="str">
            <v>GREEN</v>
          </cell>
          <cell r="J278" t="str">
            <v>GREEN</v>
          </cell>
          <cell r="L278" t="str">
            <v>ALASKA-P</v>
          </cell>
          <cell r="M278" t="str">
            <v>H.RUGPN_STR</v>
          </cell>
          <cell r="N278" t="str">
            <v>H.RUGPN_STR0090</v>
          </cell>
          <cell r="O278" t="str">
            <v>RPS0003GRNGRN</v>
          </cell>
          <cell r="P278" t="str">
            <v>H.RUGPN_STR0090_RPS0003GRNGRN</v>
          </cell>
        </row>
        <row r="279">
          <cell r="D279" t="str">
            <v>VOLARE-P / MSH0004LGYBOR</v>
          </cell>
          <cell r="E279" t="str">
            <v>X4</v>
          </cell>
          <cell r="F279" t="str">
            <v>S</v>
          </cell>
          <cell r="G279" t="str">
            <v>MESH</v>
          </cell>
          <cell r="H279" t="str">
            <v>0004</v>
          </cell>
          <cell r="I279" t="str">
            <v>LIGHT GRAY</v>
          </cell>
          <cell r="J279" t="str">
            <v>BORDEAUX</v>
          </cell>
          <cell r="L279" t="str">
            <v>VOLARE-P</v>
          </cell>
          <cell r="M279" t="str">
            <v>H.FLYPN_FLS</v>
          </cell>
          <cell r="N279" t="str">
            <v>H.FLYPN_FLS0091</v>
          </cell>
          <cell r="O279" t="str">
            <v>MSH0004LGYBOR</v>
          </cell>
          <cell r="P279" t="str">
            <v>H.FLYPN_FLS0091_MSH0004LGYBOR</v>
          </cell>
        </row>
        <row r="280">
          <cell r="D280" t="str">
            <v>VOLARE-P / MSH0004BLKBLK</v>
          </cell>
          <cell r="E280" t="str">
            <v>X4</v>
          </cell>
          <cell r="F280" t="str">
            <v>S</v>
          </cell>
          <cell r="G280" t="str">
            <v>MESH</v>
          </cell>
          <cell r="H280" t="str">
            <v>0004</v>
          </cell>
          <cell r="I280" t="str">
            <v>BLACK</v>
          </cell>
          <cell r="J280" t="str">
            <v>BLACK</v>
          </cell>
          <cell r="L280" t="str">
            <v>VOLARE-P</v>
          </cell>
          <cell r="M280" t="str">
            <v>H.FLYPN_FLS</v>
          </cell>
          <cell r="N280" t="str">
            <v>H.FLYPN_FLS0091</v>
          </cell>
          <cell r="O280" t="str">
            <v>MSH0004BLKBLK</v>
          </cell>
          <cell r="P280" t="str">
            <v>H.FLYPN_FLS0091_MSH0004BLKBLK</v>
          </cell>
        </row>
        <row r="281">
          <cell r="D281" t="str">
            <v>FLEECE-XP / FLC0001BLKGLD</v>
          </cell>
          <cell r="E281" t="str">
            <v>X4</v>
          </cell>
          <cell r="F281" t="str">
            <v>W</v>
          </cell>
          <cell r="G281" t="str">
            <v>FLEECE</v>
          </cell>
          <cell r="H281" t="str">
            <v>0001</v>
          </cell>
          <cell r="I281" t="str">
            <v>BLACK</v>
          </cell>
          <cell r="J281" t="str">
            <v>GOLD</v>
          </cell>
          <cell r="L281" t="str">
            <v>FLEECE-XP</v>
          </cell>
          <cell r="M281" t="str">
            <v>H.RUGPN_EXS</v>
          </cell>
          <cell r="N281" t="str">
            <v>H.RUGPN_EXS0092</v>
          </cell>
          <cell r="O281" t="str">
            <v>FLC0001BLKGLD</v>
          </cell>
          <cell r="P281" t="str">
            <v>H.RUGPN_EXS0092_FLC0001BLKGLD</v>
          </cell>
        </row>
        <row r="282">
          <cell r="D282" t="str">
            <v>FLEECE-XP / FLC0001BORGLD</v>
          </cell>
          <cell r="E282" t="str">
            <v>X4</v>
          </cell>
          <cell r="F282" t="str">
            <v>W</v>
          </cell>
          <cell r="G282" t="str">
            <v>FLEECE</v>
          </cell>
          <cell r="H282" t="str">
            <v>0001</v>
          </cell>
          <cell r="I282" t="str">
            <v>BORDEAUX</v>
          </cell>
          <cell r="J282" t="str">
            <v>GOLD</v>
          </cell>
          <cell r="L282" t="str">
            <v>FLEECE-XP</v>
          </cell>
          <cell r="M282" t="str">
            <v>H.RUGPN_EXS</v>
          </cell>
          <cell r="N282" t="str">
            <v>H.RUGPN_EXS0092</v>
          </cell>
          <cell r="O282" t="str">
            <v>FLC0001BORGLD</v>
          </cell>
          <cell r="P282" t="str">
            <v>H.RUGPN_EXS0092_FLC0001BORGLD</v>
          </cell>
        </row>
        <row r="283">
          <cell r="D283" t="str">
            <v>FLEECE-XP / FLC0001PURGLD</v>
          </cell>
          <cell r="E283" t="str">
            <v>X4</v>
          </cell>
          <cell r="F283" t="str">
            <v>W</v>
          </cell>
          <cell r="G283" t="str">
            <v>FLEECE</v>
          </cell>
          <cell r="H283" t="str">
            <v>0001</v>
          </cell>
          <cell r="I283" t="str">
            <v>PURPLE</v>
          </cell>
          <cell r="J283" t="str">
            <v>GOLD</v>
          </cell>
          <cell r="L283" t="str">
            <v>FLEECE-XP</v>
          </cell>
          <cell r="M283" t="str">
            <v>H.RUGPN_EXS</v>
          </cell>
          <cell r="N283" t="str">
            <v>H.RUGPN_EXS0092</v>
          </cell>
          <cell r="O283" t="str">
            <v>FLC0001PURGLD</v>
          </cell>
          <cell r="P283" t="str">
            <v>H.RUGPN_EXS0092_FLC0001PURGLD</v>
          </cell>
        </row>
        <row r="284">
          <cell r="D284" t="str">
            <v>FLEECE-XP / FLC0001BLKRGL</v>
          </cell>
          <cell r="E284" t="str">
            <v>X4</v>
          </cell>
          <cell r="F284" t="str">
            <v>W</v>
          </cell>
          <cell r="G284" t="str">
            <v>FLEECE</v>
          </cell>
          <cell r="H284" t="str">
            <v>0001</v>
          </cell>
          <cell r="I284" t="str">
            <v>BLACK</v>
          </cell>
          <cell r="J284" t="str">
            <v>ROSE GOLD</v>
          </cell>
          <cell r="L284" t="str">
            <v>FLEECE-XP</v>
          </cell>
          <cell r="M284" t="str">
            <v>H.RUGPN_EXS</v>
          </cell>
          <cell r="N284" t="str">
            <v>H.RUGPN_EXS0092</v>
          </cell>
          <cell r="O284" t="str">
            <v>FLC0001BLKRGL</v>
          </cell>
          <cell r="P284" t="str">
            <v>H.RUGPN_EXS0092_FLC0001BLKRGL</v>
          </cell>
        </row>
        <row r="285">
          <cell r="D285" t="str">
            <v>FLEECE-XP / FLC0001DGYBLK</v>
          </cell>
          <cell r="E285" t="str">
            <v>X4</v>
          </cell>
          <cell r="F285" t="str">
            <v>W</v>
          </cell>
          <cell r="G285" t="str">
            <v>FLEECE</v>
          </cell>
          <cell r="H285" t="str">
            <v>0001</v>
          </cell>
          <cell r="I285" t="str">
            <v>DARK GRAY</v>
          </cell>
          <cell r="J285" t="str">
            <v>BLACK</v>
          </cell>
          <cell r="L285" t="str">
            <v>FLEECE-XP</v>
          </cell>
          <cell r="M285" t="str">
            <v>H.RUGPN_EXS</v>
          </cell>
          <cell r="N285" t="str">
            <v>H.RUGPN_EXS0092</v>
          </cell>
          <cell r="O285" t="str">
            <v>FLC0001DGYBLK</v>
          </cell>
          <cell r="P285" t="str">
            <v>H.RUGPN_EXS0092_FLC0001DGYBLK</v>
          </cell>
        </row>
        <row r="286">
          <cell r="D286" t="str">
            <v>RAIN-XP / RPN0005BBLGLD</v>
          </cell>
          <cell r="E286" t="str">
            <v>X4</v>
          </cell>
          <cell r="F286" t="str">
            <v>W</v>
          </cell>
          <cell r="G286" t="str">
            <v>RAINPROOF NYLON</v>
          </cell>
          <cell r="H286" t="str">
            <v>0005</v>
          </cell>
          <cell r="I286" t="str">
            <v>BLUE-BLACK</v>
          </cell>
          <cell r="J286" t="str">
            <v>GOLD</v>
          </cell>
          <cell r="L286" t="str">
            <v>RAIN-XP</v>
          </cell>
          <cell r="M286" t="str">
            <v>H.RUGPN_RXS</v>
          </cell>
          <cell r="N286" t="str">
            <v>H.RUGPN_RXS0093</v>
          </cell>
          <cell r="O286" t="str">
            <v>RPN0005BBLGLD</v>
          </cell>
          <cell r="P286" t="str">
            <v>H.RUGPN_RXS0093_RPN0005BBLGLD</v>
          </cell>
        </row>
        <row r="287">
          <cell r="D287" t="str">
            <v>RAIN-XP / RPN0005BORBLK</v>
          </cell>
          <cell r="E287" t="str">
            <v>X4</v>
          </cell>
          <cell r="F287" t="str">
            <v>W</v>
          </cell>
          <cell r="G287" t="str">
            <v>RAINPROOF NYLON</v>
          </cell>
          <cell r="H287" t="str">
            <v>0005</v>
          </cell>
          <cell r="I287" t="str">
            <v>BORDEAUX</v>
          </cell>
          <cell r="J287" t="str">
            <v>BLACK</v>
          </cell>
          <cell r="L287" t="str">
            <v>RAIN-XP</v>
          </cell>
          <cell r="M287" t="str">
            <v>H.RUGPN_RXS</v>
          </cell>
          <cell r="N287" t="str">
            <v>H.RUGPN_RXS0093</v>
          </cell>
          <cell r="O287" t="str">
            <v>RPN0005BORBLK</v>
          </cell>
          <cell r="P287" t="str">
            <v>H.RUGPN_RXS0093_RPN0005BORBLK</v>
          </cell>
        </row>
        <row r="288">
          <cell r="D288" t="str">
            <v>RAIN-XP / RPN0005BEGBLK</v>
          </cell>
          <cell r="E288" t="str">
            <v>X4</v>
          </cell>
          <cell r="F288" t="str">
            <v>W</v>
          </cell>
          <cell r="G288" t="str">
            <v>RAINPROOF NYLON</v>
          </cell>
          <cell r="H288" t="str">
            <v>0005</v>
          </cell>
          <cell r="I288" t="str">
            <v>BEIGE</v>
          </cell>
          <cell r="J288" t="str">
            <v>BLACK</v>
          </cell>
          <cell r="L288" t="str">
            <v>RAIN-XP</v>
          </cell>
          <cell r="M288" t="str">
            <v>H.RUGPN_RXS</v>
          </cell>
          <cell r="N288" t="str">
            <v>H.RUGPN_RXS0093</v>
          </cell>
          <cell r="O288" t="str">
            <v>RPN0005BEGBLK</v>
          </cell>
          <cell r="P288" t="str">
            <v>H.RUGPN_RXS0093_RPN0005BEGBLK</v>
          </cell>
        </row>
        <row r="289">
          <cell r="D289" t="str">
            <v>RAIN-XP / RPN0005BLKGLD</v>
          </cell>
          <cell r="E289" t="str">
            <v>X4</v>
          </cell>
          <cell r="F289" t="str">
            <v>W</v>
          </cell>
          <cell r="G289" t="str">
            <v>RAINPROOF NYLON</v>
          </cell>
          <cell r="H289" t="str">
            <v>0005</v>
          </cell>
          <cell r="I289" t="str">
            <v>BLACK</v>
          </cell>
          <cell r="J289" t="str">
            <v>GOLD</v>
          </cell>
          <cell r="L289" t="str">
            <v>RAIN-XP</v>
          </cell>
          <cell r="M289" t="str">
            <v>H.RUGPN_RXS</v>
          </cell>
          <cell r="N289" t="str">
            <v>H.RUGPN_RXS0093</v>
          </cell>
          <cell r="O289" t="str">
            <v>RPN0005BLKGLD</v>
          </cell>
          <cell r="P289" t="str">
            <v>H.RUGPN_RXS0093_RPN0005BLKGLD</v>
          </cell>
        </row>
        <row r="290">
          <cell r="D290" t="str">
            <v>SANTINI / BRD0002BEGBEG</v>
          </cell>
          <cell r="E290" t="str">
            <v>X5</v>
          </cell>
          <cell r="F290" t="str">
            <v>A</v>
          </cell>
          <cell r="G290" t="str">
            <v>BRAIDED</v>
          </cell>
          <cell r="H290" t="str">
            <v>0002</v>
          </cell>
          <cell r="I290" t="str">
            <v>BEIGE</v>
          </cell>
          <cell r="J290" t="str">
            <v>BEIGE</v>
          </cell>
          <cell r="L290" t="str">
            <v>SANTINI</v>
          </cell>
          <cell r="M290" t="str">
            <v>A.RACUX_BLT</v>
          </cell>
          <cell r="N290" t="str">
            <v>A.RACUX_BLT0094A</v>
          </cell>
          <cell r="O290" t="str">
            <v>BRD0002BEGBEG</v>
          </cell>
          <cell r="P290" t="str">
            <v>A.RACUX_BLT0094A_BRD0002BEGBEG</v>
          </cell>
        </row>
        <row r="291">
          <cell r="D291" t="str">
            <v>SANTINI / BRD0002BLKBLK</v>
          </cell>
          <cell r="E291" t="str">
            <v>X5</v>
          </cell>
          <cell r="F291" t="str">
            <v>A</v>
          </cell>
          <cell r="G291" t="str">
            <v>BRAIDED</v>
          </cell>
          <cell r="H291" t="str">
            <v>0002</v>
          </cell>
          <cell r="I291" t="str">
            <v>BLACK</v>
          </cell>
          <cell r="J291" t="str">
            <v>BLACK</v>
          </cell>
          <cell r="L291" t="str">
            <v>SANTINI</v>
          </cell>
          <cell r="M291" t="str">
            <v>A.RACUX_BLT</v>
          </cell>
          <cell r="N291" t="str">
            <v>A.RACUX_BLT0094A</v>
          </cell>
          <cell r="O291" t="str">
            <v>BRD0002BLKBLK</v>
          </cell>
          <cell r="P291" t="str">
            <v>A.RACUX_BLT0094A_BRD0002BLKBLK</v>
          </cell>
        </row>
        <row r="292">
          <cell r="D292" t="str">
            <v>SANTINI / BRD0002NAVNAV</v>
          </cell>
          <cell r="E292" t="str">
            <v>X5</v>
          </cell>
          <cell r="F292" t="str">
            <v>A</v>
          </cell>
          <cell r="G292" t="str">
            <v>BRAIDED</v>
          </cell>
          <cell r="H292" t="str">
            <v>0002</v>
          </cell>
          <cell r="I292" t="str">
            <v>NAVY</v>
          </cell>
          <cell r="J292" t="str">
            <v>NAVY</v>
          </cell>
          <cell r="L292" t="str">
            <v>SANTINI</v>
          </cell>
          <cell r="M292" t="str">
            <v>A.RACUX_BLT</v>
          </cell>
          <cell r="N292" t="str">
            <v>A.RACUX_BLT0094A</v>
          </cell>
          <cell r="O292" t="str">
            <v>BRD0002NAVNAV</v>
          </cell>
          <cell r="P292" t="str">
            <v>A.RACUX_BLT0094A_BRD0002NAVNAV</v>
          </cell>
        </row>
        <row r="293">
          <cell r="D293" t="str">
            <v>PISA / TJR0027ELBELB</v>
          </cell>
          <cell r="E293" t="str">
            <v>X5</v>
          </cell>
          <cell r="F293" t="str">
            <v>A</v>
          </cell>
          <cell r="G293" t="str">
            <v>TECH JERSEY</v>
          </cell>
          <cell r="H293" t="str">
            <v>0027</v>
          </cell>
          <cell r="I293" t="str">
            <v>ELECTRIC BLUE</v>
          </cell>
          <cell r="J293" t="str">
            <v>ELECTRIC BLUE</v>
          </cell>
          <cell r="L293" t="str">
            <v>PISA</v>
          </cell>
          <cell r="M293" t="str">
            <v>R.J&amp;TWN_CJK</v>
          </cell>
          <cell r="N293" t="str">
            <v>R.J&amp;TWN_CJK0095A</v>
          </cell>
          <cell r="O293" t="str">
            <v>TJR0027ELBELB</v>
          </cell>
          <cell r="P293" t="str">
            <v>R.J&amp;TWN_CJK0095A_TJR0027ELBELB</v>
          </cell>
        </row>
        <row r="294">
          <cell r="D294" t="str">
            <v>AREZZO-TBF / TJR0026REDRED</v>
          </cell>
          <cell r="E294" t="str">
            <v>X5</v>
          </cell>
          <cell r="F294" t="str">
            <v>A</v>
          </cell>
          <cell r="G294" t="str">
            <v>TECH JERSEY</v>
          </cell>
          <cell r="H294" t="str">
            <v>0026</v>
          </cell>
          <cell r="I294" t="str">
            <v>RED</v>
          </cell>
          <cell r="J294" t="str">
            <v>RED</v>
          </cell>
          <cell r="L294" t="str">
            <v>AREZZO-TBF</v>
          </cell>
          <cell r="M294" t="str">
            <v>R.J&amp;TMN_CJK</v>
          </cell>
          <cell r="N294" t="str">
            <v>R.J&amp;TMN_CJK0096</v>
          </cell>
          <cell r="O294" t="str">
            <v>TJR0026REDRED</v>
          </cell>
          <cell r="P294" t="str">
            <v>R.J&amp;TMN_CJK0096_TJR0026REDRED</v>
          </cell>
        </row>
        <row r="295">
          <cell r="D295" t="str">
            <v>GORLA MINORE-TBF / TJR0027REDRED</v>
          </cell>
          <cell r="E295" t="str">
            <v>X5</v>
          </cell>
          <cell r="F295" t="str">
            <v>A</v>
          </cell>
          <cell r="G295" t="str">
            <v>TECH JERSEY</v>
          </cell>
          <cell r="H295" t="str">
            <v>0027</v>
          </cell>
          <cell r="I295" t="str">
            <v>RED</v>
          </cell>
          <cell r="J295" t="str">
            <v>RED</v>
          </cell>
          <cell r="L295" t="str">
            <v>GORLA MINORE-TBF</v>
          </cell>
          <cell r="M295" t="str">
            <v>R.J&amp;TWN_CJK</v>
          </cell>
          <cell r="N295" t="str">
            <v>R.J&amp;TWN_CJK0097</v>
          </cell>
          <cell r="O295" t="str">
            <v>TJR0027REDRED</v>
          </cell>
          <cell r="P295" t="str">
            <v>R.J&amp;TWN_CJK0097_TJR0027REDRED</v>
          </cell>
        </row>
        <row r="296">
          <cell r="D296" t="str">
            <v>ENZO-TBF / TJR0015WHTRED</v>
          </cell>
          <cell r="E296" t="str">
            <v>X5</v>
          </cell>
          <cell r="F296" t="str">
            <v>S</v>
          </cell>
          <cell r="G296" t="str">
            <v>TECH JERSEY</v>
          </cell>
          <cell r="H296" t="str">
            <v>0015</v>
          </cell>
          <cell r="I296" t="str">
            <v>WHITE</v>
          </cell>
          <cell r="J296" t="str">
            <v>RED</v>
          </cell>
          <cell r="L296" t="str">
            <v>ENZO-TBF</v>
          </cell>
          <cell r="M296" t="str">
            <v>R.TOPMN_CPL</v>
          </cell>
          <cell r="N296" t="str">
            <v>R.TOPMN_CPL0098S</v>
          </cell>
          <cell r="O296" t="str">
            <v>TJR0015WHTRED</v>
          </cell>
          <cell r="P296" t="str">
            <v>R.TOPMN_CPL0098S_TJR0015WHTRED</v>
          </cell>
        </row>
        <row r="297">
          <cell r="D297" t="str">
            <v>ENZA-TBF / TJR0015WHTRED</v>
          </cell>
          <cell r="E297" t="str">
            <v>X5</v>
          </cell>
          <cell r="F297" t="str">
            <v>S</v>
          </cell>
          <cell r="G297" t="str">
            <v>TECH JERSEY</v>
          </cell>
          <cell r="H297" t="str">
            <v>0015</v>
          </cell>
          <cell r="I297" t="str">
            <v>WHITE</v>
          </cell>
          <cell r="J297" t="str">
            <v>RED</v>
          </cell>
          <cell r="L297" t="str">
            <v>ENZA-TBF</v>
          </cell>
          <cell r="M297" t="str">
            <v>R.TOPWN_CPL</v>
          </cell>
          <cell r="N297" t="str">
            <v>R.TOPWN_CPL0099S</v>
          </cell>
          <cell r="O297" t="str">
            <v>TJR0015WHTRED</v>
          </cell>
          <cell r="P297" t="str">
            <v>R.TOPWN_CPL0099S_TJR0015WHTRED</v>
          </cell>
        </row>
        <row r="298">
          <cell r="D298" t="str">
            <v>MONTERREY / RPS0032BBLBBL</v>
          </cell>
          <cell r="E298" t="str">
            <v>X5</v>
          </cell>
          <cell r="F298" t="str">
            <v>A</v>
          </cell>
          <cell r="G298" t="str">
            <v>RAINPROOF SHELL</v>
          </cell>
          <cell r="H298" t="str">
            <v>0032</v>
          </cell>
          <cell r="I298" t="str">
            <v>BLUE-BLACK</v>
          </cell>
          <cell r="J298" t="str">
            <v>BLUE-BLACK</v>
          </cell>
          <cell r="L298" t="str">
            <v>MONTERREY</v>
          </cell>
          <cell r="M298" t="str">
            <v>H.RUGFL_STR</v>
          </cell>
          <cell r="N298" t="str">
            <v>H.RUGFL_STR0100A</v>
          </cell>
          <cell r="O298" t="str">
            <v>RPS0032BBLBBL</v>
          </cell>
          <cell r="P298" t="str">
            <v>H.RUGFL_STR0100A_RPS0032BBLBBL</v>
          </cell>
        </row>
        <row r="299">
          <cell r="D299" t="str">
            <v>MONTERREY-P / RPS0032BBLBBL</v>
          </cell>
          <cell r="E299" t="str">
            <v>X5</v>
          </cell>
          <cell r="F299" t="str">
            <v>A</v>
          </cell>
          <cell r="G299" t="str">
            <v>RAINPROOF SHELL</v>
          </cell>
          <cell r="H299" t="str">
            <v>0032</v>
          </cell>
          <cell r="I299" t="str">
            <v>BLUE-BLACK</v>
          </cell>
          <cell r="J299" t="str">
            <v>BLUE-BLACK</v>
          </cell>
          <cell r="L299" t="str">
            <v>MONTERREY-P</v>
          </cell>
          <cell r="M299" t="str">
            <v>H.RUGPN_STR</v>
          </cell>
          <cell r="N299" t="str">
            <v>H.RUGPN_STR0100A</v>
          </cell>
          <cell r="O299" t="str">
            <v>RPS0032BBLBBL</v>
          </cell>
          <cell r="P299" t="str">
            <v>H.RUGPN_STR0100A_RPS0032BBLBBL</v>
          </cell>
        </row>
        <row r="300">
          <cell r="D300" t="str">
            <v>SANTIAGO / BRD0003GRYBLK</v>
          </cell>
          <cell r="E300" t="str">
            <v>X6</v>
          </cell>
          <cell r="F300" t="str">
            <v>A</v>
          </cell>
          <cell r="G300" t="str">
            <v>BRAIDED</v>
          </cell>
          <cell r="H300" t="str">
            <v>0003</v>
          </cell>
          <cell r="I300" t="str">
            <v>GRAY</v>
          </cell>
          <cell r="J300" t="str">
            <v>BLACK</v>
          </cell>
          <cell r="L300" t="str">
            <v>SANTIAGO</v>
          </cell>
          <cell r="M300" t="str">
            <v>A.RACUX_BLT</v>
          </cell>
          <cell r="N300" t="str">
            <v>A.RACUX_BLT0101A</v>
          </cell>
          <cell r="O300" t="str">
            <v>BRD0003GRYBLK</v>
          </cell>
          <cell r="P300" t="str">
            <v>A.RACUX_BLT0101A_BRD0003GRYBLK</v>
          </cell>
        </row>
        <row r="301">
          <cell r="D301" t="str">
            <v>SANTIAGO / BRD0003OCNBLK</v>
          </cell>
          <cell r="E301" t="str">
            <v>X6</v>
          </cell>
          <cell r="F301" t="str">
            <v>A</v>
          </cell>
          <cell r="G301" t="str">
            <v>BRAIDED</v>
          </cell>
          <cell r="H301" t="str">
            <v>0003</v>
          </cell>
          <cell r="I301" t="str">
            <v>OCEAN BLUE</v>
          </cell>
          <cell r="J301" t="str">
            <v>BLACK</v>
          </cell>
          <cell r="L301" t="str">
            <v>SANTIAGO</v>
          </cell>
          <cell r="M301" t="str">
            <v>A.RACUX_BLT</v>
          </cell>
          <cell r="N301" t="str">
            <v>A.RACUX_BLT0101A</v>
          </cell>
          <cell r="O301" t="str">
            <v>BRD0003OCNBLK</v>
          </cell>
          <cell r="P301" t="str">
            <v>A.RACUX_BLT0101A_BRD0003OCNBLK</v>
          </cell>
        </row>
        <row r="302">
          <cell r="D302" t="str">
            <v>PAOLA-TBF / TJR0015WHTRED</v>
          </cell>
          <cell r="E302" t="str">
            <v>X6</v>
          </cell>
          <cell r="F302" t="str">
            <v>A</v>
          </cell>
          <cell r="G302" t="str">
            <v>TECH JERSEY</v>
          </cell>
          <cell r="H302" t="str">
            <v>0015</v>
          </cell>
          <cell r="I302" t="str">
            <v>WHITE</v>
          </cell>
          <cell r="J302" t="str">
            <v>RED</v>
          </cell>
          <cell r="L302" t="str">
            <v>PAOLA-TBF</v>
          </cell>
          <cell r="M302" t="str">
            <v>R.TOPWN_CPL</v>
          </cell>
          <cell r="N302" t="str">
            <v>R.TOPWN_CPL0102A</v>
          </cell>
          <cell r="O302" t="str">
            <v>TJR0015WHTRED</v>
          </cell>
          <cell r="P302" t="str">
            <v>R.TOPWN_CPL0102A_TJR0015WHTRED</v>
          </cell>
        </row>
        <row r="303">
          <cell r="D303" t="str">
            <v>PAOLO-TBF / TJR0015WHTRED</v>
          </cell>
          <cell r="E303" t="str">
            <v>X6</v>
          </cell>
          <cell r="F303" t="str">
            <v>A</v>
          </cell>
          <cell r="G303" t="str">
            <v>TECH JERSEY</v>
          </cell>
          <cell r="H303" t="str">
            <v>0015</v>
          </cell>
          <cell r="I303" t="str">
            <v>WHITE</v>
          </cell>
          <cell r="J303" t="str">
            <v>RED</v>
          </cell>
          <cell r="L303" t="str">
            <v>PAOLO-TBF</v>
          </cell>
          <cell r="M303" t="str">
            <v>R.TOPMN_CPL</v>
          </cell>
          <cell r="N303" t="str">
            <v>R.TOPMN_CPL0103A</v>
          </cell>
          <cell r="O303" t="str">
            <v>TJR0015WHTRED</v>
          </cell>
          <cell r="P303" t="str">
            <v>R.TOPMN_CPL0103A_TJR0015WHTRED</v>
          </cell>
        </row>
        <row r="304">
          <cell r="D304" t="str">
            <v>MARBELLA / COM0033WHTBLE</v>
          </cell>
          <cell r="E304" t="str">
            <v>X6</v>
          </cell>
          <cell r="F304" t="str">
            <v>A</v>
          </cell>
          <cell r="G304" t="str">
            <v>COMFORT</v>
          </cell>
          <cell r="H304" t="str">
            <v>0033</v>
          </cell>
          <cell r="I304" t="str">
            <v>WHITE</v>
          </cell>
          <cell r="J304" t="str">
            <v>BLUE</v>
          </cell>
          <cell r="L304" t="str">
            <v>MARBELLA</v>
          </cell>
          <cell r="M304" t="str">
            <v>R.TOPWN_CSS</v>
          </cell>
          <cell r="N304" t="str">
            <v>R.TOPWN_CSS0104A</v>
          </cell>
          <cell r="O304" t="str">
            <v>COM0033WHTBLE</v>
          </cell>
          <cell r="P304" t="str">
            <v>R.TOPWN_CSS0104A_COM0033WHTBLE</v>
          </cell>
        </row>
        <row r="305">
          <cell r="D305" t="str">
            <v>NAPOLI / COM0033WHTBLE</v>
          </cell>
          <cell r="E305" t="str">
            <v>X6</v>
          </cell>
          <cell r="F305" t="str">
            <v>A</v>
          </cell>
          <cell r="G305" t="str">
            <v>COMFORT</v>
          </cell>
          <cell r="H305" t="str">
            <v>0033</v>
          </cell>
          <cell r="I305" t="str">
            <v>WHITE</v>
          </cell>
          <cell r="J305" t="str">
            <v>BLUE</v>
          </cell>
          <cell r="L305" t="str">
            <v>NAPOLI</v>
          </cell>
          <cell r="M305" t="str">
            <v>R.TOPMN_CPS</v>
          </cell>
          <cell r="N305" t="str">
            <v>R.TOPMN_CPS0105A</v>
          </cell>
          <cell r="O305" t="str">
            <v>COM0033WHTBLE</v>
          </cell>
          <cell r="P305" t="str">
            <v>R.TOPMN_CPS0105A_COM0033WHTBLE</v>
          </cell>
        </row>
        <row r="306">
          <cell r="D306" t="str">
            <v>BANDANA / CNE0034BLKBLK</v>
          </cell>
          <cell r="E306" t="str">
            <v>X6</v>
          </cell>
          <cell r="F306" t="str">
            <v>A</v>
          </cell>
          <cell r="G306" t="str">
            <v>COT/NYLON/EA</v>
          </cell>
          <cell r="H306" t="str">
            <v>0034</v>
          </cell>
          <cell r="I306" t="str">
            <v>BLACK</v>
          </cell>
          <cell r="J306" t="str">
            <v>BLACK</v>
          </cell>
          <cell r="L306" t="str">
            <v>BANDANA</v>
          </cell>
          <cell r="M306" t="str">
            <v>A.RACWN_HRB</v>
          </cell>
          <cell r="N306" t="str">
            <v>A.RACWN_HRB0106A</v>
          </cell>
          <cell r="O306" t="str">
            <v>CNE0034BLKBLK</v>
          </cell>
          <cell r="P306" t="str">
            <v>A.RACWN_HRB0106A_CNE0034BLKBLK</v>
          </cell>
        </row>
        <row r="307">
          <cell r="D307" t="str">
            <v>CAPE TOWN / CNE0035BLKBLK</v>
          </cell>
          <cell r="E307" t="str">
            <v>X6</v>
          </cell>
          <cell r="F307" t="str">
            <v>A</v>
          </cell>
          <cell r="G307" t="str">
            <v>COT/NYLON/EA</v>
          </cell>
          <cell r="H307" t="str">
            <v>0035</v>
          </cell>
          <cell r="I307" t="str">
            <v>BLACK</v>
          </cell>
          <cell r="J307" t="str">
            <v>BLACK</v>
          </cell>
          <cell r="L307" t="str">
            <v>CAPE TOWN</v>
          </cell>
          <cell r="M307" t="str">
            <v>A.RACAU_CAP</v>
          </cell>
          <cell r="N307" t="str">
            <v>A.RACAU_CAP0107A</v>
          </cell>
          <cell r="O307" t="str">
            <v>CNE0035BLKBLK</v>
          </cell>
          <cell r="P307" t="str">
            <v>A.RACAU_CAP0107A_CNE0035BLKBLK</v>
          </cell>
        </row>
        <row r="308">
          <cell r="D308" t="str">
            <v>CAPE TOWN / CNE0035BEGBEG</v>
          </cell>
          <cell r="E308" t="str">
            <v>X6</v>
          </cell>
          <cell r="F308" t="str">
            <v>A</v>
          </cell>
          <cell r="G308" t="str">
            <v>COT/NYLON/EA</v>
          </cell>
          <cell r="H308" t="str">
            <v>0035</v>
          </cell>
          <cell r="I308" t="str">
            <v>BEIGE</v>
          </cell>
          <cell r="J308" t="str">
            <v>BEIGE</v>
          </cell>
          <cell r="L308" t="str">
            <v>CAPE TOWN</v>
          </cell>
          <cell r="M308" t="str">
            <v>A.RACAU_CAP</v>
          </cell>
          <cell r="N308" t="str">
            <v>A.RACAU_CAP0107A</v>
          </cell>
          <cell r="O308" t="str">
            <v>CNE0035BEGBEG</v>
          </cell>
          <cell r="P308" t="str">
            <v>A.RACAU_CAP0107A_CNE0035BEGBEG</v>
          </cell>
        </row>
        <row r="309">
          <cell r="D309" t="str">
            <v>FONDI-3XB / CNE0036ST1ST1</v>
          </cell>
          <cell r="E309" t="str">
            <v>X6</v>
          </cell>
          <cell r="F309" t="str">
            <v>A</v>
          </cell>
          <cell r="G309" t="str">
            <v>COT/NYLON/EA</v>
          </cell>
          <cell r="H309" t="str">
            <v>0036</v>
          </cell>
          <cell r="I309" t="str">
            <v>SET #1</v>
          </cell>
          <cell r="J309" t="str">
            <v>SET #1</v>
          </cell>
          <cell r="L309" t="str">
            <v>FONDI-3XB</v>
          </cell>
          <cell r="M309" t="str">
            <v>A.RACAU_SOC</v>
          </cell>
          <cell r="N309" t="str">
            <v>A.RACAU_SOC0108A</v>
          </cell>
          <cell r="O309" t="str">
            <v>CNE0036ST1ST1</v>
          </cell>
          <cell r="P309" t="str">
            <v>A.RACAU_SOC0108A_CNE0036ST1ST1</v>
          </cell>
        </row>
        <row r="310">
          <cell r="D310" t="str">
            <v>FONDI-3XB / CNE0036ST2ST2</v>
          </cell>
          <cell r="E310" t="str">
            <v>X6</v>
          </cell>
          <cell r="F310" t="str">
            <v>A</v>
          </cell>
          <cell r="G310" t="str">
            <v>COT/NYLON/EA</v>
          </cell>
          <cell r="H310" t="str">
            <v>0036</v>
          </cell>
          <cell r="I310" t="str">
            <v>SET #2</v>
          </cell>
          <cell r="J310" t="str">
            <v>SET #2</v>
          </cell>
          <cell r="L310" t="str">
            <v>FONDI-3XB</v>
          </cell>
          <cell r="M310" t="str">
            <v>A.RACAU_SOC</v>
          </cell>
          <cell r="N310" t="str">
            <v>A.RACAU_SOC0108A</v>
          </cell>
          <cell r="O310" t="str">
            <v>CNE0036ST2ST2</v>
          </cell>
          <cell r="P310" t="str">
            <v>A.RACAU_SOC0108A_CNE0036ST2ST2</v>
          </cell>
        </row>
        <row r="311">
          <cell r="D311" t="str">
            <v>FONDI-3XB / CNE0036ST3ST3</v>
          </cell>
          <cell r="E311" t="str">
            <v>X6</v>
          </cell>
          <cell r="F311" t="str">
            <v>A</v>
          </cell>
          <cell r="G311" t="str">
            <v>COT/NYLON/EA</v>
          </cell>
          <cell r="H311" t="str">
            <v>0036</v>
          </cell>
          <cell r="I311" t="str">
            <v>SET #3</v>
          </cell>
          <cell r="J311" t="str">
            <v>SET #3</v>
          </cell>
          <cell r="L311" t="str">
            <v>FONDI-3XB</v>
          </cell>
          <cell r="M311" t="str">
            <v>A.RACAU_SOC</v>
          </cell>
          <cell r="N311" t="str">
            <v>A.RACAU_SOC0108A</v>
          </cell>
          <cell r="O311" t="str">
            <v>CNE0036ST3ST3</v>
          </cell>
          <cell r="P311" t="str">
            <v>A.RACAU_SOC0108A_CNE0036ST3ST3</v>
          </cell>
        </row>
        <row r="312">
          <cell r="D312" t="str">
            <v>FONDI-3XB / CNE0036ST4ST4</v>
          </cell>
          <cell r="E312" t="str">
            <v>X6</v>
          </cell>
          <cell r="F312" t="str">
            <v>A</v>
          </cell>
          <cell r="G312" t="str">
            <v>COT/NYLON/EA</v>
          </cell>
          <cell r="H312" t="str">
            <v>0036</v>
          </cell>
          <cell r="I312" t="str">
            <v>SET #4</v>
          </cell>
          <cell r="J312" t="str">
            <v>SET #4</v>
          </cell>
          <cell r="L312" t="str">
            <v>FONDI-3XB</v>
          </cell>
          <cell r="M312" t="str">
            <v>A.RACAU_SOC</v>
          </cell>
          <cell r="N312" t="str">
            <v>A.RACAU_SOC0108A</v>
          </cell>
          <cell r="O312" t="str">
            <v>CNE0036ST4ST4</v>
          </cell>
          <cell r="P312" t="str">
            <v>A.RACAU_SOC0108A_CNE0036ST4ST4</v>
          </cell>
        </row>
        <row r="313">
          <cell r="D313" t="str">
            <v>FONDI-3XB / CNE0036ST5ST5</v>
          </cell>
          <cell r="E313" t="str">
            <v>X6</v>
          </cell>
          <cell r="F313" t="str">
            <v>A</v>
          </cell>
          <cell r="G313" t="str">
            <v>COT/NYLON/EA</v>
          </cell>
          <cell r="H313" t="str">
            <v>0036</v>
          </cell>
          <cell r="I313" t="str">
            <v>SET #5</v>
          </cell>
          <cell r="J313" t="str">
            <v>SET #5</v>
          </cell>
          <cell r="L313" t="str">
            <v>FONDI-3XB</v>
          </cell>
          <cell r="M313" t="str">
            <v>A.RACAU_SOC</v>
          </cell>
          <cell r="N313" t="str">
            <v>A.RACAU_SOC0108A</v>
          </cell>
          <cell r="O313" t="str">
            <v>CNE0036ST5ST5</v>
          </cell>
          <cell r="P313" t="str">
            <v>A.RACAU_SOC0108A_CNE0036ST5ST5</v>
          </cell>
        </row>
        <row r="314">
          <cell r="D314" t="str">
            <v>FONDI-3XB / CNE0036ST6ST6</v>
          </cell>
          <cell r="E314" t="str">
            <v>X6</v>
          </cell>
          <cell r="F314" t="str">
            <v>A</v>
          </cell>
          <cell r="G314" t="str">
            <v>COT/NYLON/EA</v>
          </cell>
          <cell r="H314" t="str">
            <v>0036</v>
          </cell>
          <cell r="I314" t="str">
            <v>SET #6</v>
          </cell>
          <cell r="J314" t="str">
            <v>SET #6</v>
          </cell>
          <cell r="L314" t="str">
            <v>FONDI-3XB</v>
          </cell>
          <cell r="M314" t="str">
            <v>A.RACAU_SOC</v>
          </cell>
          <cell r="N314" t="str">
            <v>A.RACAU_SOC0108A</v>
          </cell>
          <cell r="O314" t="str">
            <v>CNE0036ST6ST6</v>
          </cell>
          <cell r="P314" t="str">
            <v>A.RACAU_SOC0108A_CNE0036ST6ST6</v>
          </cell>
        </row>
        <row r="315">
          <cell r="D315" t="str">
            <v>FONDI-3XB / CNE0036ST7ST7</v>
          </cell>
          <cell r="E315" t="str">
            <v>X6</v>
          </cell>
          <cell r="F315" t="str">
            <v>A</v>
          </cell>
          <cell r="G315" t="str">
            <v>COT/NYLON/EA</v>
          </cell>
          <cell r="H315" t="str">
            <v>0036</v>
          </cell>
          <cell r="I315" t="str">
            <v>SET #7</v>
          </cell>
          <cell r="J315" t="str">
            <v>SET #7</v>
          </cell>
          <cell r="L315" t="str">
            <v>FONDI-3XB</v>
          </cell>
          <cell r="M315" t="str">
            <v>A.RACAU_SOC</v>
          </cell>
          <cell r="N315" t="str">
            <v>A.RACAU_SOC0108A</v>
          </cell>
          <cell r="O315" t="str">
            <v>CNE0036ST7ST7</v>
          </cell>
          <cell r="P315" t="str">
            <v>A.RACAU_SOC0108A_CNE0036ST7ST7</v>
          </cell>
        </row>
        <row r="316">
          <cell r="D316" t="str">
            <v>ALEA-W / TJR0037WHTWHT</v>
          </cell>
          <cell r="E316" t="str">
            <v>X6</v>
          </cell>
          <cell r="F316" t="str">
            <v>W</v>
          </cell>
          <cell r="G316" t="str">
            <v>TECH JERSEY</v>
          </cell>
          <cell r="H316" t="str">
            <v>0037</v>
          </cell>
          <cell r="I316" t="str">
            <v>WHITE</v>
          </cell>
          <cell r="J316" t="str">
            <v>WHITE</v>
          </cell>
          <cell r="L316" t="str">
            <v>ALEA-W</v>
          </cell>
          <cell r="M316" t="str">
            <v>R.BOTWN_BRC</v>
          </cell>
          <cell r="N316" t="str">
            <v>R.BOTWN_BRC0109W</v>
          </cell>
          <cell r="O316" t="str">
            <v>TJR0037WHTWHT</v>
          </cell>
          <cell r="P316" t="str">
            <v>R.BOTWN_BRC0109W_TJR0037WHTWHT</v>
          </cell>
        </row>
        <row r="317">
          <cell r="D317" t="str">
            <v>ALEA-W / TJR0037BLKBLK</v>
          </cell>
          <cell r="E317" t="str">
            <v>X6</v>
          </cell>
          <cell r="F317" t="str">
            <v>W</v>
          </cell>
          <cell r="G317" t="str">
            <v>TECH JERSEY</v>
          </cell>
          <cell r="H317" t="str">
            <v>0037</v>
          </cell>
          <cell r="I317" t="str">
            <v>BLACK</v>
          </cell>
          <cell r="J317" t="str">
            <v>BLACK</v>
          </cell>
          <cell r="L317" t="str">
            <v>ALEA-W</v>
          </cell>
          <cell r="M317" t="str">
            <v>R.BOTWN_BRC</v>
          </cell>
          <cell r="N317" t="str">
            <v>R.BOTWN_BRC0109W</v>
          </cell>
          <cell r="O317" t="str">
            <v>TJR0037BLKBLK</v>
          </cell>
          <cell r="P317" t="str">
            <v>R.BOTWN_BRC0109W_TJR0037BLKBLK</v>
          </cell>
        </row>
        <row r="318">
          <cell r="D318" t="str">
            <v>LEONARDO-W / TJR0037WHTWHT</v>
          </cell>
          <cell r="E318" t="str">
            <v>X6</v>
          </cell>
          <cell r="F318" t="str">
            <v>W</v>
          </cell>
          <cell r="G318" t="str">
            <v>TECH JERSEY</v>
          </cell>
          <cell r="H318" t="str">
            <v>0037</v>
          </cell>
          <cell r="I318" t="str">
            <v>WHITE</v>
          </cell>
          <cell r="J318" t="str">
            <v>WHITE</v>
          </cell>
          <cell r="L318" t="str">
            <v>LEONARDO-W</v>
          </cell>
          <cell r="M318" t="str">
            <v>R.BOTMN_BRC</v>
          </cell>
          <cell r="N318" t="str">
            <v>R.BOTMN_BRC0110W</v>
          </cell>
          <cell r="O318" t="str">
            <v>TJR0037WHTWHT</v>
          </cell>
          <cell r="P318" t="str">
            <v>R.BOTMN_BRC0110W_TJR0037WHTWHT</v>
          </cell>
        </row>
        <row r="319">
          <cell r="D319" t="str">
            <v>LEONARDO-W / TJR0037BLKBLK</v>
          </cell>
          <cell r="E319" t="str">
            <v>X6</v>
          </cell>
          <cell r="F319" t="str">
            <v>W</v>
          </cell>
          <cell r="G319" t="str">
            <v>TECH JERSEY</v>
          </cell>
          <cell r="H319" t="str">
            <v>0037</v>
          </cell>
          <cell r="I319" t="str">
            <v>BLACK</v>
          </cell>
          <cell r="J319" t="str">
            <v>BLACK</v>
          </cell>
          <cell r="L319" t="str">
            <v>LEONARDO-W</v>
          </cell>
          <cell r="M319" t="str">
            <v>R.BOTMN_BRC</v>
          </cell>
          <cell r="N319" t="str">
            <v>R.BOTMN_BRC0110W</v>
          </cell>
          <cell r="O319" t="str">
            <v>TJR0037BLKBLK</v>
          </cell>
          <cell r="P319" t="str">
            <v>R.BOTMN_BRC0110W_TJR0037BLKBLK</v>
          </cell>
        </row>
        <row r="320">
          <cell r="D320" t="str">
            <v>ATLANTIS-W / TJR0037WHTWHT</v>
          </cell>
          <cell r="E320" t="str">
            <v>X6</v>
          </cell>
          <cell r="F320" t="str">
            <v>W</v>
          </cell>
          <cell r="G320" t="str">
            <v>TECH JERSEY</v>
          </cell>
          <cell r="H320" t="str">
            <v>0037</v>
          </cell>
          <cell r="I320" t="str">
            <v>WHITE</v>
          </cell>
          <cell r="J320" t="str">
            <v>WHITE</v>
          </cell>
          <cell r="L320" t="str">
            <v>ATLANTIS-W</v>
          </cell>
          <cell r="M320" t="str">
            <v>R.BOTKU_BRC</v>
          </cell>
          <cell r="N320" t="str">
            <v>R.BOTKU_BRC0111W</v>
          </cell>
          <cell r="O320" t="str">
            <v>TJR0037WHTWHT</v>
          </cell>
          <cell r="P320" t="str">
            <v>R.BOTKU_BRC0111W_TJR0037WHTWHT</v>
          </cell>
        </row>
        <row r="321">
          <cell r="D321" t="str">
            <v>ATLANTIS-W / TJR0037BLKBLK</v>
          </cell>
          <cell r="E321" t="str">
            <v>X6</v>
          </cell>
          <cell r="F321" t="str">
            <v>W</v>
          </cell>
          <cell r="G321" t="str">
            <v>TECH JERSEY</v>
          </cell>
          <cell r="H321" t="str">
            <v>0037</v>
          </cell>
          <cell r="I321" t="str">
            <v>BLACK</v>
          </cell>
          <cell r="J321" t="str">
            <v>BLACK</v>
          </cell>
          <cell r="L321" t="str">
            <v>ATLANTIS-W</v>
          </cell>
          <cell r="M321" t="str">
            <v>R.BOTKU_BRC</v>
          </cell>
          <cell r="N321" t="str">
            <v>R.BOTKU_BRC0111W</v>
          </cell>
          <cell r="O321" t="str">
            <v>TJR0037BLKBLK</v>
          </cell>
          <cell r="P321" t="str">
            <v>R.BOTKU_BRC0111W_TJR0037BLKBLK</v>
          </cell>
        </row>
        <row r="322">
          <cell r="D322" t="str">
            <v>VENETA / TJR0038BLKBLK</v>
          </cell>
          <cell r="E322" t="str">
            <v>X6</v>
          </cell>
          <cell r="F322" t="str">
            <v>W</v>
          </cell>
          <cell r="G322" t="str">
            <v>TECH JERSEY</v>
          </cell>
          <cell r="H322" t="str">
            <v>0038</v>
          </cell>
          <cell r="I322" t="str">
            <v>BLACK</v>
          </cell>
          <cell r="J322" t="str">
            <v>BLACK</v>
          </cell>
          <cell r="L322" t="str">
            <v>VENETA</v>
          </cell>
          <cell r="M322" t="str">
            <v>R.TOPWN_CSS</v>
          </cell>
          <cell r="N322" t="str">
            <v>R.TOPWN_CSS0112W</v>
          </cell>
          <cell r="O322" t="str">
            <v>TJR0038BLKBLK</v>
          </cell>
          <cell r="P322" t="str">
            <v>R.TOPWN_CSS0112W_TJR0038BLKBLK</v>
          </cell>
        </row>
        <row r="323">
          <cell r="D323" t="str">
            <v>VENETA / TJR0038TAUTAU</v>
          </cell>
          <cell r="E323" t="str">
            <v>X6</v>
          </cell>
          <cell r="F323" t="str">
            <v>W</v>
          </cell>
          <cell r="G323" t="str">
            <v>TECH JERSEY</v>
          </cell>
          <cell r="H323" t="str">
            <v>0038</v>
          </cell>
          <cell r="I323" t="str">
            <v>TAUPE</v>
          </cell>
          <cell r="J323" t="str">
            <v>TAUPE</v>
          </cell>
          <cell r="L323" t="str">
            <v>VENETA</v>
          </cell>
          <cell r="M323" t="str">
            <v>R.TOPWN_CSS</v>
          </cell>
          <cell r="N323" t="str">
            <v>R.TOPWN_CSS0112W</v>
          </cell>
          <cell r="O323" t="str">
            <v>TJR0038TAUTAU</v>
          </cell>
          <cell r="P323" t="str">
            <v>R.TOPWN_CSS0112W_TJR0038TAUTAU</v>
          </cell>
        </row>
        <row r="324">
          <cell r="D324" t="str">
            <v>VENETA / TJR0038STBSTB</v>
          </cell>
          <cell r="E324" t="str">
            <v>X6</v>
          </cell>
          <cell r="F324" t="str">
            <v>W</v>
          </cell>
          <cell r="G324" t="str">
            <v>TECH JERSEY</v>
          </cell>
          <cell r="H324" t="str">
            <v>0038</v>
          </cell>
          <cell r="I324" t="str">
            <v>STEEL BLUE</v>
          </cell>
          <cell r="J324" t="str">
            <v>STEEL BLUE</v>
          </cell>
          <cell r="L324" t="str">
            <v>VENETA</v>
          </cell>
          <cell r="M324" t="str">
            <v>R.TOPWN_CSS</v>
          </cell>
          <cell r="N324" t="str">
            <v>R.TOPWN_CSS0112W</v>
          </cell>
          <cell r="O324" t="str">
            <v>TJR0038STBSTB</v>
          </cell>
          <cell r="P324" t="str">
            <v>R.TOPWN_CSS0112W_TJR0038STBSTB</v>
          </cell>
        </row>
        <row r="325">
          <cell r="D325" t="str">
            <v>ASPEN-STRASS / TJR0038BRWBRW</v>
          </cell>
          <cell r="E325" t="str">
            <v>X6</v>
          </cell>
          <cell r="F325" t="str">
            <v>W</v>
          </cell>
          <cell r="G325" t="str">
            <v>TECH JERSEY</v>
          </cell>
          <cell r="H325" t="str">
            <v>0038</v>
          </cell>
          <cell r="I325" t="str">
            <v>BROWN</v>
          </cell>
          <cell r="J325" t="str">
            <v>BROWN</v>
          </cell>
          <cell r="L325" t="str">
            <v>ASPEN-STRASS</v>
          </cell>
          <cell r="M325" t="str">
            <v>R.TOPWN_BLY</v>
          </cell>
          <cell r="N325" t="str">
            <v>R.TOPWN_BLY0113W</v>
          </cell>
          <cell r="O325" t="str">
            <v>TJR0038BRWBRW</v>
          </cell>
          <cell r="P325" t="str">
            <v>R.TOPWN_BLY0113W_TJR0038BRWBRW</v>
          </cell>
        </row>
        <row r="1061">
          <cell r="D1061" t="str">
            <v>zzz</v>
          </cell>
          <cell r="E1061" t="str">
            <v>zzz</v>
          </cell>
          <cell r="F1061" t="str">
            <v>zzz</v>
          </cell>
          <cell r="G1061" t="str">
            <v>zzz</v>
          </cell>
          <cell r="H1061" t="str">
            <v>zzz</v>
          </cell>
          <cell r="I1061" t="str">
            <v>zzz</v>
          </cell>
          <cell r="J1061" t="str">
            <v>zzz</v>
          </cell>
          <cell r="K1061" t="str">
            <v>zzz</v>
          </cell>
          <cell r="L1061" t="str">
            <v>zzz</v>
          </cell>
          <cell r="M1061" t="str">
            <v>zzz</v>
          </cell>
          <cell r="N1061" t="str">
            <v>zzz</v>
          </cell>
          <cell r="O1061" t="str">
            <v>zzz</v>
          </cell>
          <cell r="P1061" t="str">
            <v>zzz       zzz</v>
          </cell>
        </row>
      </sheetData>
      <sheetData sheetId="3"/>
      <sheetData sheetId="4">
        <row r="2">
          <cell r="M2" t="str">
            <v>X1</v>
          </cell>
          <cell r="N2" t="str">
            <v>S</v>
          </cell>
          <cell r="O2" t="str">
            <v>*JERSEY*</v>
          </cell>
          <cell r="Q2" t="str">
            <v>WHITE</v>
          </cell>
        </row>
        <row r="3">
          <cell r="M3" t="str">
            <v>X2</v>
          </cell>
          <cell r="N3" t="str">
            <v>W</v>
          </cell>
          <cell r="O3" t="str">
            <v>INTERLOCK</v>
          </cell>
          <cell r="Q3" t="str">
            <v>FLORAL WHITE</v>
          </cell>
        </row>
        <row r="4">
          <cell r="M4" t="str">
            <v>X3</v>
          </cell>
          <cell r="N4" t="str">
            <v>A</v>
          </cell>
          <cell r="O4" t="str">
            <v>PIQUET</v>
          </cell>
          <cell r="Q4" t="str">
            <v>ORCHID WHITE</v>
          </cell>
        </row>
        <row r="5">
          <cell r="M5" t="str">
            <v>X4</v>
          </cell>
          <cell r="N5" t="str">
            <v xml:space="preserve"> </v>
          </cell>
          <cell r="O5" t="str">
            <v>SUPREME</v>
          </cell>
          <cell r="Q5" t="str">
            <v>PEARL WHITE</v>
          </cell>
        </row>
        <row r="6">
          <cell r="M6" t="str">
            <v>X5</v>
          </cell>
          <cell r="N6" t="str">
            <v xml:space="preserve"> </v>
          </cell>
          <cell r="O6" t="str">
            <v>SWEAT</v>
          </cell>
          <cell r="Q6" t="str">
            <v>ALMOND</v>
          </cell>
        </row>
        <row r="7">
          <cell r="M7" t="str">
            <v>X6</v>
          </cell>
          <cell r="N7" t="str">
            <v xml:space="preserve"> </v>
          </cell>
          <cell r="O7" t="str">
            <v>TECH JERSEY</v>
          </cell>
          <cell r="Q7" t="str">
            <v>BEIGE</v>
          </cell>
        </row>
        <row r="8">
          <cell r="M8" t="str">
            <v>X7</v>
          </cell>
          <cell r="N8" t="str">
            <v xml:space="preserve"> </v>
          </cell>
          <cell r="Q8" t="str">
            <v>CHAMPAGNE</v>
          </cell>
        </row>
        <row r="9">
          <cell r="M9" t="str">
            <v>X8</v>
          </cell>
          <cell r="N9" t="str">
            <v xml:space="preserve"> </v>
          </cell>
          <cell r="Q9" t="str">
            <v>CORN SILK</v>
          </cell>
        </row>
        <row r="10">
          <cell r="M10" t="str">
            <v>X9</v>
          </cell>
          <cell r="N10" t="str">
            <v xml:space="preserve"> </v>
          </cell>
          <cell r="Q10" t="str">
            <v>CREAM</v>
          </cell>
        </row>
        <row r="11">
          <cell r="M11" t="str">
            <v>Y0</v>
          </cell>
          <cell r="N11" t="str">
            <v xml:space="preserve"> </v>
          </cell>
          <cell r="O11" t="str">
            <v>*SYNTHETIC*</v>
          </cell>
          <cell r="Q11" t="str">
            <v>DESERT SILK</v>
          </cell>
        </row>
        <row r="12">
          <cell r="M12" t="str">
            <v>Y1</v>
          </cell>
          <cell r="N12" t="str">
            <v xml:space="preserve"> </v>
          </cell>
          <cell r="O12" t="str">
            <v>FLEECE</v>
          </cell>
          <cell r="Q12" t="str">
            <v>DUSTY OLIVE</v>
          </cell>
        </row>
        <row r="13">
          <cell r="M13" t="str">
            <v>Y2</v>
          </cell>
          <cell r="N13" t="str">
            <v xml:space="preserve"> </v>
          </cell>
          <cell r="O13" t="str">
            <v>MESH</v>
          </cell>
          <cell r="Q13" t="str">
            <v>ECRU</v>
          </cell>
        </row>
        <row r="14">
          <cell r="M14" t="str">
            <v>Y3</v>
          </cell>
          <cell r="N14" t="str">
            <v xml:space="preserve"> </v>
          </cell>
          <cell r="O14" t="str">
            <v>NYLON</v>
          </cell>
          <cell r="Q14" t="str">
            <v>HONEY</v>
          </cell>
        </row>
        <row r="15">
          <cell r="M15" t="str">
            <v>Y4</v>
          </cell>
          <cell r="N15" t="str">
            <v xml:space="preserve"> </v>
          </cell>
          <cell r="O15" t="str">
            <v>POLYAMIDE</v>
          </cell>
          <cell r="Q15" t="str">
            <v>IVORY</v>
          </cell>
        </row>
        <row r="16">
          <cell r="M16" t="str">
            <v>Y5</v>
          </cell>
          <cell r="N16" t="str">
            <v xml:space="preserve"> </v>
          </cell>
          <cell r="O16" t="str">
            <v>POLYESTER</v>
          </cell>
          <cell r="Q16" t="str">
            <v>LATTE</v>
          </cell>
        </row>
        <row r="17">
          <cell r="M17" t="str">
            <v>Y6</v>
          </cell>
          <cell r="N17" t="str">
            <v xml:space="preserve"> </v>
          </cell>
          <cell r="O17" t="str">
            <v>RAINPROOF NYLON</v>
          </cell>
          <cell r="Q17" t="str">
            <v>MINK</v>
          </cell>
        </row>
        <row r="18">
          <cell r="M18" t="str">
            <v>Y7</v>
          </cell>
          <cell r="N18" t="str">
            <v xml:space="preserve"> </v>
          </cell>
          <cell r="O18" t="str">
            <v>RAINPROOF SHELL</v>
          </cell>
          <cell r="Q18" t="str">
            <v>PANNA</v>
          </cell>
        </row>
        <row r="19">
          <cell r="M19" t="str">
            <v>Y8</v>
          </cell>
          <cell r="N19" t="str">
            <v xml:space="preserve"> </v>
          </cell>
          <cell r="O19" t="str">
            <v>SCUBA</v>
          </cell>
          <cell r="Q19" t="str">
            <v>PEACH CREAM</v>
          </cell>
        </row>
        <row r="20">
          <cell r="M20" t="str">
            <v>Y9</v>
          </cell>
          <cell r="N20" t="str">
            <v xml:space="preserve"> </v>
          </cell>
          <cell r="O20" t="str">
            <v>SOFT SHELL</v>
          </cell>
          <cell r="Q20" t="str">
            <v>PEARL DUST</v>
          </cell>
        </row>
        <row r="21">
          <cell r="M21" t="str">
            <v>Z0</v>
          </cell>
          <cell r="N21" t="str">
            <v xml:space="preserve"> </v>
          </cell>
          <cell r="O21" t="str">
            <v>WELSOFT</v>
          </cell>
          <cell r="Q21" t="str">
            <v>SAND</v>
          </cell>
        </row>
        <row r="22">
          <cell r="M22" t="str">
            <v xml:space="preserve"> </v>
          </cell>
          <cell r="N22" t="str">
            <v xml:space="preserve"> </v>
          </cell>
          <cell r="Q22" t="str">
            <v>TAN</v>
          </cell>
        </row>
        <row r="23">
          <cell r="M23" t="str">
            <v xml:space="preserve"> </v>
          </cell>
          <cell r="N23" t="str">
            <v xml:space="preserve"> </v>
          </cell>
          <cell r="Q23" t="str">
            <v>TAUPE</v>
          </cell>
        </row>
        <row r="24">
          <cell r="M24" t="str">
            <v xml:space="preserve"> </v>
          </cell>
          <cell r="N24" t="str">
            <v xml:space="preserve"> </v>
          </cell>
          <cell r="Q24" t="str">
            <v>VANILLA</v>
          </cell>
        </row>
        <row r="25">
          <cell r="M25" t="str">
            <v xml:space="preserve"> </v>
          </cell>
          <cell r="N25" t="str">
            <v xml:space="preserve"> </v>
          </cell>
          <cell r="Q25" t="str">
            <v>BLACK</v>
          </cell>
        </row>
        <row r="26">
          <cell r="M26" t="str">
            <v xml:space="preserve"> </v>
          </cell>
          <cell r="N26" t="str">
            <v xml:space="preserve"> </v>
          </cell>
          <cell r="O26" t="str">
            <v>*SKIN*</v>
          </cell>
          <cell r="Q26" t="str">
            <v>CHARCOAL BLACK</v>
          </cell>
        </row>
        <row r="27">
          <cell r="M27" t="str">
            <v xml:space="preserve"> </v>
          </cell>
          <cell r="N27" t="str">
            <v xml:space="preserve"> </v>
          </cell>
          <cell r="O27" t="str">
            <v>LEATHER</v>
          </cell>
          <cell r="Q27" t="str">
            <v>JET BLACK</v>
          </cell>
        </row>
        <row r="28">
          <cell r="M28" t="str">
            <v xml:space="preserve"> </v>
          </cell>
          <cell r="N28" t="str">
            <v xml:space="preserve"> </v>
          </cell>
          <cell r="O28" t="str">
            <v>SUEDE</v>
          </cell>
          <cell r="Q28" t="str">
            <v>ONYX BLACK</v>
          </cell>
        </row>
        <row r="29">
          <cell r="M29" t="str">
            <v xml:space="preserve"> </v>
          </cell>
          <cell r="N29" t="str">
            <v xml:space="preserve"> </v>
          </cell>
          <cell r="O29" t="str">
            <v>VINYL</v>
          </cell>
          <cell r="Q29" t="str">
            <v>AMETHYST</v>
          </cell>
        </row>
        <row r="30">
          <cell r="M30" t="str">
            <v xml:space="preserve"> </v>
          </cell>
          <cell r="N30" t="str">
            <v xml:space="preserve"> </v>
          </cell>
          <cell r="O30" t="str">
            <v>FAUX FUR</v>
          </cell>
          <cell r="Q30" t="str">
            <v>ACQUA</v>
          </cell>
        </row>
        <row r="31">
          <cell r="M31" t="str">
            <v xml:space="preserve"> </v>
          </cell>
          <cell r="N31" t="str">
            <v xml:space="preserve"> </v>
          </cell>
          <cell r="Q31" t="str">
            <v>AQUAMARINE</v>
          </cell>
        </row>
        <row r="32">
          <cell r="M32" t="str">
            <v xml:space="preserve"> </v>
          </cell>
          <cell r="N32" t="str">
            <v xml:space="preserve"> </v>
          </cell>
          <cell r="Q32" t="str">
            <v>AZURE</v>
          </cell>
        </row>
        <row r="33">
          <cell r="M33" t="str">
            <v xml:space="preserve"> </v>
          </cell>
          <cell r="N33" t="str">
            <v xml:space="preserve"> </v>
          </cell>
          <cell r="Q33" t="str">
            <v>BLUE</v>
          </cell>
        </row>
        <row r="34">
          <cell r="M34" t="str">
            <v xml:space="preserve"> </v>
          </cell>
          <cell r="N34" t="str">
            <v xml:space="preserve"> </v>
          </cell>
          <cell r="Q34" t="str">
            <v>BLUE-BLACK</v>
          </cell>
        </row>
        <row r="35">
          <cell r="M35" t="str">
            <v xml:space="preserve"> </v>
          </cell>
          <cell r="N35" t="str">
            <v xml:space="preserve"> </v>
          </cell>
          <cell r="O35" t="str">
            <v>*WOVENS*</v>
          </cell>
          <cell r="Q35" t="str">
            <v>CADET BLUE</v>
          </cell>
        </row>
        <row r="36">
          <cell r="M36" t="str">
            <v xml:space="preserve"> </v>
          </cell>
          <cell r="N36" t="str">
            <v xml:space="preserve"> </v>
          </cell>
          <cell r="O36" t="str">
            <v>DOBBY</v>
          </cell>
          <cell r="Q36" t="str">
            <v>CELESTIAL BLUE</v>
          </cell>
        </row>
        <row r="37">
          <cell r="M37" t="str">
            <v xml:space="preserve"> </v>
          </cell>
          <cell r="N37" t="str">
            <v xml:space="preserve"> </v>
          </cell>
          <cell r="O37" t="str">
            <v>JACQUARD</v>
          </cell>
          <cell r="Q37" t="str">
            <v>COBALT BLUE</v>
          </cell>
        </row>
        <row r="38">
          <cell r="M38" t="str">
            <v xml:space="preserve"> </v>
          </cell>
          <cell r="N38" t="str">
            <v xml:space="preserve"> </v>
          </cell>
          <cell r="O38" t="str">
            <v>OXFORD</v>
          </cell>
          <cell r="Q38" t="str">
            <v>DARK BLUE</v>
          </cell>
        </row>
        <row r="39">
          <cell r="M39" t="str">
            <v xml:space="preserve"> </v>
          </cell>
          <cell r="N39" t="str">
            <v xml:space="preserve"> </v>
          </cell>
          <cell r="O39" t="str">
            <v>POPELINE</v>
          </cell>
          <cell r="Q39" t="str">
            <v>DEEPSKY BLUE</v>
          </cell>
        </row>
        <row r="40">
          <cell r="M40" t="str">
            <v xml:space="preserve"> </v>
          </cell>
          <cell r="N40" t="str">
            <v xml:space="preserve"> </v>
          </cell>
          <cell r="O40" t="str">
            <v>POP. STRETCH</v>
          </cell>
          <cell r="Q40" t="str">
            <v>ELECTRIC BLUE</v>
          </cell>
        </row>
        <row r="41">
          <cell r="M41" t="str">
            <v xml:space="preserve"> </v>
          </cell>
          <cell r="N41" t="str">
            <v xml:space="preserve"> </v>
          </cell>
          <cell r="O41" t="str">
            <v>SATIN</v>
          </cell>
          <cell r="Q41" t="str">
            <v>ICY AQUA</v>
          </cell>
        </row>
        <row r="42">
          <cell r="M42" t="str">
            <v xml:space="preserve"> </v>
          </cell>
          <cell r="N42" t="str">
            <v xml:space="preserve"> </v>
          </cell>
          <cell r="O42" t="str">
            <v>TWILL</v>
          </cell>
          <cell r="Q42" t="str">
            <v>INDIGO</v>
          </cell>
        </row>
        <row r="43">
          <cell r="M43" t="str">
            <v xml:space="preserve"> </v>
          </cell>
          <cell r="N43" t="str">
            <v xml:space="preserve"> </v>
          </cell>
          <cell r="O43" t="str">
            <v>COMFORT</v>
          </cell>
          <cell r="Q43" t="str">
            <v>MIDNIGHT BLUE</v>
          </cell>
        </row>
        <row r="44">
          <cell r="M44" t="str">
            <v xml:space="preserve"> </v>
          </cell>
          <cell r="N44" t="str">
            <v xml:space="preserve"> </v>
          </cell>
          <cell r="O44" t="str">
            <v>SPECIAL</v>
          </cell>
          <cell r="Q44" t="str">
            <v>NAVY</v>
          </cell>
        </row>
        <row r="45">
          <cell r="M45" t="str">
            <v xml:space="preserve"> </v>
          </cell>
          <cell r="N45" t="str">
            <v xml:space="preserve"> </v>
          </cell>
          <cell r="O45" t="str">
            <v>KNIT</v>
          </cell>
          <cell r="Q45" t="str">
            <v>OBSIDIAN BLUE</v>
          </cell>
        </row>
        <row r="46">
          <cell r="M46" t="str">
            <v xml:space="preserve"> </v>
          </cell>
          <cell r="N46" t="str">
            <v xml:space="preserve"> </v>
          </cell>
          <cell r="O46" t="str">
            <v>BRAIDED</v>
          </cell>
          <cell r="Q46" t="str">
            <v>OCEAN BLUE</v>
          </cell>
        </row>
        <row r="47">
          <cell r="M47" t="str">
            <v xml:space="preserve"> </v>
          </cell>
          <cell r="N47" t="str">
            <v xml:space="preserve"> </v>
          </cell>
          <cell r="O47" t="str">
            <v>RIBBON</v>
          </cell>
          <cell r="Q47" t="str">
            <v>PETROL</v>
          </cell>
        </row>
        <row r="48">
          <cell r="M48" t="str">
            <v xml:space="preserve"> </v>
          </cell>
          <cell r="N48" t="str">
            <v xml:space="preserve"> </v>
          </cell>
          <cell r="O48" t="str">
            <v>GROS-GRAIN</v>
          </cell>
          <cell r="Q48" t="str">
            <v>ROYAL BLUE</v>
          </cell>
        </row>
        <row r="49">
          <cell r="M49" t="str">
            <v xml:space="preserve"> </v>
          </cell>
          <cell r="N49" t="str">
            <v xml:space="preserve"> </v>
          </cell>
          <cell r="O49" t="str">
            <v>ACRYLIC</v>
          </cell>
          <cell r="Q49" t="str">
            <v>SAPPHIRE BLUE</v>
          </cell>
        </row>
        <row r="50">
          <cell r="M50" t="str">
            <v xml:space="preserve"> </v>
          </cell>
          <cell r="N50" t="str">
            <v xml:space="preserve"> </v>
          </cell>
          <cell r="O50" t="str">
            <v>COTTON</v>
          </cell>
          <cell r="Q50" t="str">
            <v>SKY BLUE</v>
          </cell>
        </row>
        <row r="51">
          <cell r="M51" t="str">
            <v xml:space="preserve"> </v>
          </cell>
          <cell r="N51" t="str">
            <v xml:space="preserve"> </v>
          </cell>
          <cell r="Q51" t="str">
            <v>STEEL BLUE</v>
          </cell>
        </row>
        <row r="52">
          <cell r="M52" t="str">
            <v xml:space="preserve"> </v>
          </cell>
          <cell r="N52" t="str">
            <v xml:space="preserve"> </v>
          </cell>
          <cell r="Q52" t="str">
            <v>STORM BLUE</v>
          </cell>
        </row>
        <row r="53">
          <cell r="M53" t="str">
            <v xml:space="preserve"> </v>
          </cell>
          <cell r="N53" t="str">
            <v xml:space="preserve"> </v>
          </cell>
          <cell r="Q53" t="str">
            <v>TURQUOISE</v>
          </cell>
        </row>
        <row r="54">
          <cell r="M54" t="str">
            <v xml:space="preserve"> </v>
          </cell>
          <cell r="N54" t="str">
            <v xml:space="preserve"> </v>
          </cell>
          <cell r="Q54" t="str">
            <v>BRONZE</v>
          </cell>
        </row>
        <row r="55">
          <cell r="M55" t="str">
            <v xml:space="preserve"> </v>
          </cell>
          <cell r="N55" t="str">
            <v xml:space="preserve"> </v>
          </cell>
          <cell r="O55" t="str">
            <v>*BLENDS*</v>
          </cell>
          <cell r="Q55" t="str">
            <v>BAY</v>
          </cell>
        </row>
        <row r="56">
          <cell r="M56" t="str">
            <v xml:space="preserve"> </v>
          </cell>
          <cell r="N56" t="str">
            <v xml:space="preserve"> </v>
          </cell>
          <cell r="O56" t="str">
            <v>COT/NYLON/EA</v>
          </cell>
          <cell r="Q56" t="str">
            <v>BROWN</v>
          </cell>
        </row>
        <row r="57">
          <cell r="M57" t="str">
            <v xml:space="preserve"> </v>
          </cell>
          <cell r="N57" t="str">
            <v xml:space="preserve"> </v>
          </cell>
          <cell r="O57" t="str">
            <v>COT/NYLON</v>
          </cell>
          <cell r="Q57" t="str">
            <v>BURLYWOOD</v>
          </cell>
        </row>
        <row r="58">
          <cell r="M58" t="str">
            <v xml:space="preserve"> </v>
          </cell>
          <cell r="N58" t="str">
            <v xml:space="preserve"> </v>
          </cell>
          <cell r="O58" t="str">
            <v>COT/NYLON/WOOL</v>
          </cell>
          <cell r="Q58" t="str">
            <v>CHESTNUT BROWN</v>
          </cell>
        </row>
        <row r="59">
          <cell r="M59" t="str">
            <v xml:space="preserve"> </v>
          </cell>
          <cell r="N59" t="str">
            <v xml:space="preserve"> </v>
          </cell>
          <cell r="O59" t="str">
            <v xml:space="preserve"> </v>
          </cell>
          <cell r="Q59" t="str">
            <v>CHOCOLATE</v>
          </cell>
        </row>
        <row r="60">
          <cell r="M60" t="str">
            <v xml:space="preserve"> </v>
          </cell>
          <cell r="N60" t="str">
            <v xml:space="preserve"> </v>
          </cell>
          <cell r="O60" t="str">
            <v xml:space="preserve"> </v>
          </cell>
          <cell r="Q60" t="str">
            <v>CLAY BROWN</v>
          </cell>
        </row>
        <row r="61">
          <cell r="M61" t="str">
            <v xml:space="preserve"> </v>
          </cell>
          <cell r="N61" t="str">
            <v xml:space="preserve"> </v>
          </cell>
          <cell r="O61" t="str">
            <v xml:space="preserve"> </v>
          </cell>
          <cell r="Q61" t="str">
            <v>COFFEE</v>
          </cell>
        </row>
        <row r="62">
          <cell r="M62" t="str">
            <v xml:space="preserve"> </v>
          </cell>
          <cell r="N62" t="str">
            <v xml:space="preserve"> </v>
          </cell>
          <cell r="O62" t="str">
            <v xml:space="preserve"> </v>
          </cell>
          <cell r="Q62" t="str">
            <v>DARK BAY</v>
          </cell>
        </row>
        <row r="63">
          <cell r="M63" t="str">
            <v xml:space="preserve"> </v>
          </cell>
          <cell r="N63" t="str">
            <v xml:space="preserve"> </v>
          </cell>
          <cell r="O63" t="str">
            <v xml:space="preserve"> </v>
          </cell>
          <cell r="Q63" t="str">
            <v>MAROON</v>
          </cell>
        </row>
        <row r="64">
          <cell r="M64" t="str">
            <v xml:space="preserve"> </v>
          </cell>
          <cell r="N64" t="str">
            <v xml:space="preserve"> </v>
          </cell>
          <cell r="O64" t="str">
            <v xml:space="preserve"> </v>
          </cell>
          <cell r="Q64" t="str">
            <v>MOCHA BROWN</v>
          </cell>
        </row>
        <row r="65">
          <cell r="M65" t="str">
            <v xml:space="preserve"> </v>
          </cell>
          <cell r="N65" t="str">
            <v xml:space="preserve"> </v>
          </cell>
          <cell r="O65" t="str">
            <v xml:space="preserve"> </v>
          </cell>
          <cell r="Q65" t="str">
            <v>RUSTIC COPPER</v>
          </cell>
        </row>
        <row r="66">
          <cell r="M66" t="str">
            <v xml:space="preserve"> </v>
          </cell>
          <cell r="N66" t="str">
            <v xml:space="preserve"> </v>
          </cell>
          <cell r="O66" t="str">
            <v xml:space="preserve"> </v>
          </cell>
          <cell r="Q66" t="str">
            <v>AMBER GOLD</v>
          </cell>
        </row>
        <row r="67">
          <cell r="M67" t="str">
            <v xml:space="preserve"> </v>
          </cell>
          <cell r="N67" t="str">
            <v xml:space="preserve"> </v>
          </cell>
          <cell r="O67" t="str">
            <v xml:space="preserve"> </v>
          </cell>
          <cell r="Q67" t="str">
            <v>GOLD</v>
          </cell>
        </row>
        <row r="68">
          <cell r="M68" t="str">
            <v xml:space="preserve"> </v>
          </cell>
          <cell r="N68" t="str">
            <v xml:space="preserve"> </v>
          </cell>
          <cell r="O68" t="str">
            <v xml:space="preserve"> </v>
          </cell>
          <cell r="Q68" t="str">
            <v>GOLD LEAF</v>
          </cell>
        </row>
        <row r="69">
          <cell r="M69" t="str">
            <v xml:space="preserve"> </v>
          </cell>
          <cell r="N69" t="str">
            <v xml:space="preserve"> </v>
          </cell>
          <cell r="O69" t="str">
            <v xml:space="preserve"> </v>
          </cell>
          <cell r="Q69" t="str">
            <v>ROSE GOLD</v>
          </cell>
        </row>
        <row r="70">
          <cell r="M70" t="str">
            <v xml:space="preserve"> </v>
          </cell>
          <cell r="N70" t="str">
            <v xml:space="preserve"> </v>
          </cell>
          <cell r="O70" t="str">
            <v xml:space="preserve"> </v>
          </cell>
          <cell r="Q70" t="str">
            <v>ANTHRA</v>
          </cell>
        </row>
        <row r="71">
          <cell r="M71" t="str">
            <v xml:space="preserve"> </v>
          </cell>
          <cell r="N71" t="str">
            <v xml:space="preserve"> </v>
          </cell>
          <cell r="O71" t="str">
            <v xml:space="preserve"> </v>
          </cell>
          <cell r="Q71" t="str">
            <v>CLOUD GRAY</v>
          </cell>
        </row>
        <row r="72">
          <cell r="M72" t="str">
            <v xml:space="preserve"> </v>
          </cell>
          <cell r="N72" t="str">
            <v xml:space="preserve"> </v>
          </cell>
          <cell r="O72" t="str">
            <v xml:space="preserve"> </v>
          </cell>
          <cell r="Q72" t="str">
            <v>DARK GRAY</v>
          </cell>
        </row>
        <row r="73">
          <cell r="M73" t="str">
            <v xml:space="preserve"> </v>
          </cell>
          <cell r="N73" t="str">
            <v xml:space="preserve"> </v>
          </cell>
          <cell r="O73" t="str">
            <v xml:space="preserve"> </v>
          </cell>
          <cell r="Q73" t="str">
            <v>DIM GRAY</v>
          </cell>
        </row>
        <row r="74">
          <cell r="M74" t="str">
            <v xml:space="preserve"> </v>
          </cell>
          <cell r="N74" t="str">
            <v xml:space="preserve"> </v>
          </cell>
          <cell r="O74" t="str">
            <v xml:space="preserve"> </v>
          </cell>
          <cell r="Q74" t="str">
            <v>GRAPHITE GRAY</v>
          </cell>
        </row>
        <row r="75">
          <cell r="M75" t="str">
            <v xml:space="preserve"> </v>
          </cell>
          <cell r="N75" t="str">
            <v xml:space="preserve"> </v>
          </cell>
          <cell r="O75" t="str">
            <v xml:space="preserve"> </v>
          </cell>
          <cell r="Q75" t="str">
            <v>GRAY</v>
          </cell>
        </row>
        <row r="76">
          <cell r="M76" t="str">
            <v xml:space="preserve"> </v>
          </cell>
          <cell r="N76" t="str">
            <v xml:space="preserve"> </v>
          </cell>
          <cell r="O76" t="str">
            <v xml:space="preserve"> </v>
          </cell>
          <cell r="Q76" t="str">
            <v>GUNMETAL</v>
          </cell>
        </row>
        <row r="77">
          <cell r="M77" t="str">
            <v xml:space="preserve"> </v>
          </cell>
          <cell r="N77" t="str">
            <v xml:space="preserve"> </v>
          </cell>
          <cell r="O77" t="str">
            <v xml:space="preserve"> </v>
          </cell>
          <cell r="Q77" t="str">
            <v>IRON GRAY</v>
          </cell>
        </row>
        <row r="78">
          <cell r="M78" t="str">
            <v xml:space="preserve"> </v>
          </cell>
          <cell r="N78" t="str">
            <v xml:space="preserve"> </v>
          </cell>
          <cell r="O78" t="str">
            <v xml:space="preserve"> </v>
          </cell>
          <cell r="Q78" t="str">
            <v>LIGHT GRAY</v>
          </cell>
        </row>
        <row r="79">
          <cell r="M79" t="str">
            <v xml:space="preserve"> </v>
          </cell>
          <cell r="N79" t="str">
            <v xml:space="preserve"> </v>
          </cell>
          <cell r="O79" t="str">
            <v xml:space="preserve"> </v>
          </cell>
          <cell r="Q79" t="str">
            <v>MELANGE GRAY</v>
          </cell>
        </row>
        <row r="80">
          <cell r="M80" t="str">
            <v xml:space="preserve"> </v>
          </cell>
          <cell r="N80" t="str">
            <v xml:space="preserve"> </v>
          </cell>
          <cell r="O80" t="str">
            <v xml:space="preserve"> </v>
          </cell>
          <cell r="Q80" t="str">
            <v>MIST SILVER</v>
          </cell>
        </row>
        <row r="81">
          <cell r="M81" t="str">
            <v xml:space="preserve"> </v>
          </cell>
          <cell r="N81" t="str">
            <v xml:space="preserve"> </v>
          </cell>
          <cell r="O81" t="str">
            <v xml:space="preserve"> </v>
          </cell>
          <cell r="Q81" t="str">
            <v>SILVER</v>
          </cell>
        </row>
        <row r="82">
          <cell r="M82" t="str">
            <v xml:space="preserve"> </v>
          </cell>
          <cell r="N82" t="str">
            <v xml:space="preserve"> </v>
          </cell>
          <cell r="O82" t="str">
            <v xml:space="preserve"> </v>
          </cell>
          <cell r="Q82" t="str">
            <v>STEEL GRAY</v>
          </cell>
        </row>
        <row r="83">
          <cell r="M83" t="str">
            <v xml:space="preserve"> </v>
          </cell>
          <cell r="N83" t="str">
            <v xml:space="preserve"> </v>
          </cell>
          <cell r="O83" t="str">
            <v xml:space="preserve"> </v>
          </cell>
          <cell r="Q83" t="str">
            <v>STONE GRAY</v>
          </cell>
        </row>
        <row r="84">
          <cell r="M84" t="str">
            <v xml:space="preserve"> </v>
          </cell>
          <cell r="N84" t="str">
            <v xml:space="preserve"> </v>
          </cell>
          <cell r="O84" t="str">
            <v xml:space="preserve"> </v>
          </cell>
          <cell r="Q84" t="str">
            <v>EMERALD GREEN</v>
          </cell>
        </row>
        <row r="85">
          <cell r="M85" t="str">
            <v xml:space="preserve"> </v>
          </cell>
          <cell r="N85" t="str">
            <v xml:space="preserve"> </v>
          </cell>
          <cell r="O85" t="str">
            <v xml:space="preserve"> </v>
          </cell>
          <cell r="Q85" t="str">
            <v>FOREST MUSE</v>
          </cell>
        </row>
        <row r="86">
          <cell r="M86" t="str">
            <v xml:space="preserve"> </v>
          </cell>
          <cell r="N86" t="str">
            <v xml:space="preserve"> </v>
          </cell>
          <cell r="O86" t="str">
            <v xml:space="preserve"> </v>
          </cell>
          <cell r="Q86" t="str">
            <v>FORESTGREEN</v>
          </cell>
        </row>
        <row r="87">
          <cell r="M87" t="str">
            <v xml:space="preserve"> </v>
          </cell>
          <cell r="N87" t="str">
            <v xml:space="preserve"> </v>
          </cell>
          <cell r="O87" t="str">
            <v xml:space="preserve"> </v>
          </cell>
          <cell r="Q87" t="str">
            <v>GREEN</v>
          </cell>
        </row>
        <row r="88">
          <cell r="M88" t="str">
            <v xml:space="preserve"> </v>
          </cell>
          <cell r="N88" t="str">
            <v xml:space="preserve"> </v>
          </cell>
          <cell r="O88" t="str">
            <v xml:space="preserve"> </v>
          </cell>
          <cell r="Q88" t="str">
            <v>KHAKI</v>
          </cell>
        </row>
        <row r="89">
          <cell r="M89" t="str">
            <v xml:space="preserve"> </v>
          </cell>
          <cell r="N89" t="str">
            <v xml:space="preserve"> </v>
          </cell>
          <cell r="O89" t="str">
            <v xml:space="preserve"> </v>
          </cell>
          <cell r="Q89" t="str">
            <v>LAWN GREEN</v>
          </cell>
        </row>
        <row r="90">
          <cell r="M90" t="str">
            <v xml:space="preserve"> </v>
          </cell>
          <cell r="N90" t="str">
            <v xml:space="preserve"> </v>
          </cell>
          <cell r="O90" t="str">
            <v xml:space="preserve"> </v>
          </cell>
          <cell r="Q90" t="str">
            <v>LIME GREEN</v>
          </cell>
        </row>
        <row r="91">
          <cell r="M91" t="str">
            <v xml:space="preserve"> </v>
          </cell>
          <cell r="N91" t="str">
            <v xml:space="preserve"> </v>
          </cell>
          <cell r="O91" t="str">
            <v xml:space="preserve"> </v>
          </cell>
          <cell r="Q91" t="str">
            <v>MINT</v>
          </cell>
        </row>
        <row r="92">
          <cell r="M92" t="str">
            <v xml:space="preserve"> </v>
          </cell>
          <cell r="N92" t="str">
            <v xml:space="preserve"> </v>
          </cell>
          <cell r="O92" t="str">
            <v xml:space="preserve"> </v>
          </cell>
          <cell r="Q92" t="str">
            <v>NEON GREEN</v>
          </cell>
        </row>
        <row r="93">
          <cell r="M93" t="str">
            <v xml:space="preserve"> </v>
          </cell>
          <cell r="N93" t="str">
            <v xml:space="preserve"> </v>
          </cell>
          <cell r="O93" t="str">
            <v xml:space="preserve"> </v>
          </cell>
          <cell r="Q93" t="str">
            <v>OLIVE GREEN</v>
          </cell>
        </row>
        <row r="94">
          <cell r="M94" t="str">
            <v xml:space="preserve"> </v>
          </cell>
          <cell r="N94" t="str">
            <v xml:space="preserve"> </v>
          </cell>
          <cell r="O94" t="str">
            <v xml:space="preserve"> </v>
          </cell>
          <cell r="Q94" t="str">
            <v>LAVENDER</v>
          </cell>
        </row>
        <row r="95">
          <cell r="M95" t="str">
            <v xml:space="preserve"> </v>
          </cell>
          <cell r="N95" t="str">
            <v xml:space="preserve"> </v>
          </cell>
          <cell r="O95" t="str">
            <v xml:space="preserve"> </v>
          </cell>
          <cell r="Q95" t="str">
            <v>LAVENDER MIST</v>
          </cell>
        </row>
        <row r="96">
          <cell r="M96" t="str">
            <v xml:space="preserve"> </v>
          </cell>
          <cell r="N96" t="str">
            <v xml:space="preserve"> </v>
          </cell>
          <cell r="O96" t="str">
            <v xml:space="preserve"> </v>
          </cell>
          <cell r="Q96" t="str">
            <v>LAVENDER BLUSH</v>
          </cell>
        </row>
        <row r="97">
          <cell r="M97" t="str">
            <v xml:space="preserve"> </v>
          </cell>
          <cell r="N97" t="str">
            <v xml:space="preserve"> </v>
          </cell>
          <cell r="O97" t="str">
            <v xml:space="preserve"> </v>
          </cell>
          <cell r="Q97" t="str">
            <v>LILAC</v>
          </cell>
        </row>
        <row r="98">
          <cell r="M98" t="str">
            <v xml:space="preserve"> </v>
          </cell>
          <cell r="N98" t="str">
            <v xml:space="preserve"> </v>
          </cell>
          <cell r="O98" t="str">
            <v xml:space="preserve"> </v>
          </cell>
          <cell r="Q98" t="str">
            <v>LILAC BREEZE</v>
          </cell>
        </row>
        <row r="99">
          <cell r="M99" t="str">
            <v xml:space="preserve"> </v>
          </cell>
          <cell r="N99" t="str">
            <v xml:space="preserve"> </v>
          </cell>
          <cell r="O99" t="str">
            <v xml:space="preserve"> </v>
          </cell>
          <cell r="Q99" t="str">
            <v>PLUM VEIL</v>
          </cell>
        </row>
        <row r="100">
          <cell r="Q100" t="str">
            <v>PURPLE</v>
          </cell>
        </row>
        <row r="101">
          <cell r="Q101" t="str">
            <v>FUCHSIA</v>
          </cell>
        </row>
        <row r="102">
          <cell r="Q102" t="str">
            <v>MAGENTA</v>
          </cell>
        </row>
        <row r="103">
          <cell r="Q103" t="str">
            <v>MULTI-COLOR CHECK</v>
          </cell>
        </row>
        <row r="104">
          <cell r="Q104" t="str">
            <v>MULTI-COLOR STRIPE</v>
          </cell>
        </row>
        <row r="105">
          <cell r="Q105" t="str">
            <v>DARK ORANGE</v>
          </cell>
        </row>
        <row r="106">
          <cell r="Q106" t="str">
            <v>NEON ORANGE</v>
          </cell>
        </row>
        <row r="107">
          <cell r="Q107" t="str">
            <v>ORANGE</v>
          </cell>
        </row>
        <row r="108">
          <cell r="Q108" t="str">
            <v>BABY ROSE</v>
          </cell>
        </row>
        <row r="109">
          <cell r="Q109" t="str">
            <v>BLUSH PINK</v>
          </cell>
        </row>
        <row r="110">
          <cell r="Q110" t="str">
            <v>DEEP PINK</v>
          </cell>
        </row>
        <row r="111">
          <cell r="Q111" t="str">
            <v>HOT PINK</v>
          </cell>
        </row>
        <row r="112">
          <cell r="Q112" t="str">
            <v>MISTY ROSE</v>
          </cell>
        </row>
        <row r="113">
          <cell r="Q113" t="str">
            <v>PINK</v>
          </cell>
        </row>
        <row r="114">
          <cell r="Q114" t="str">
            <v>PUDRA</v>
          </cell>
        </row>
        <row r="115">
          <cell r="Q115" t="str">
            <v>ROSE</v>
          </cell>
        </row>
        <row r="116">
          <cell r="Q116" t="str">
            <v>BORDEAUX</v>
          </cell>
        </row>
        <row r="117">
          <cell r="Q117" t="str">
            <v>BRICK RED</v>
          </cell>
        </row>
        <row r="118">
          <cell r="Q118" t="str">
            <v>BURGUNDY</v>
          </cell>
        </row>
        <row r="119">
          <cell r="Q119" t="str">
            <v>CORAL</v>
          </cell>
        </row>
        <row r="120">
          <cell r="Q120" t="str">
            <v>CRIMSON RED</v>
          </cell>
        </row>
        <row r="121">
          <cell r="Q121" t="str">
            <v>FIREBRICK</v>
          </cell>
        </row>
        <row r="122">
          <cell r="Q122" t="str">
            <v>INDIAN RED</v>
          </cell>
        </row>
        <row r="123">
          <cell r="Q123" t="str">
            <v>ORANGE RED</v>
          </cell>
        </row>
        <row r="124">
          <cell r="Q124" t="str">
            <v>RED</v>
          </cell>
        </row>
        <row r="125">
          <cell r="Q125" t="str">
            <v>TERRACOTTA</v>
          </cell>
        </row>
        <row r="126">
          <cell r="Q126" t="str">
            <v>VELVET WINE</v>
          </cell>
        </row>
        <row r="127">
          <cell r="Q127" t="str">
            <v>VIOLET</v>
          </cell>
        </row>
        <row r="128">
          <cell r="Q128" t="str">
            <v>WINE BORDEAUX</v>
          </cell>
        </row>
        <row r="129">
          <cell r="Q129" t="str">
            <v>LEMON</v>
          </cell>
        </row>
        <row r="130">
          <cell r="Q130" t="str">
            <v>NEON YELLOW</v>
          </cell>
        </row>
        <row r="131">
          <cell r="Q131" t="str">
            <v>YELLOW</v>
          </cell>
        </row>
        <row r="132">
          <cell r="Q132" t="str">
            <v>BLACK SIM</v>
          </cell>
        </row>
        <row r="133">
          <cell r="Q133" t="str">
            <v>BRONZE SIM</v>
          </cell>
        </row>
        <row r="134">
          <cell r="Q134" t="str">
            <v>BROWN SIM</v>
          </cell>
        </row>
        <row r="135">
          <cell r="Q135" t="str">
            <v>GOLD SIM</v>
          </cell>
        </row>
        <row r="136">
          <cell r="Q136" t="str">
            <v>NAVY SIM</v>
          </cell>
        </row>
        <row r="137">
          <cell r="Q137" t="str">
            <v>SILVER SIM</v>
          </cell>
        </row>
        <row r="138">
          <cell r="Q138" t="str">
            <v>TONAL SIM</v>
          </cell>
        </row>
        <row r="139">
          <cell r="Q139" t="str">
            <v>2 PACK BUNDLE</v>
          </cell>
        </row>
        <row r="140">
          <cell r="Q140" t="str">
            <v>3 PACK BUNDLE</v>
          </cell>
        </row>
        <row r="141">
          <cell r="Q141" t="str">
            <v>COMBO</v>
          </cell>
        </row>
        <row r="142">
          <cell r="Q142" t="str">
            <v>SET #1</v>
          </cell>
        </row>
        <row r="143">
          <cell r="Q143" t="str">
            <v>SET #2</v>
          </cell>
        </row>
        <row r="144">
          <cell r="Q144" t="str">
            <v>SET #3</v>
          </cell>
        </row>
        <row r="145">
          <cell r="Q145" t="str">
            <v>SET #4</v>
          </cell>
        </row>
        <row r="146">
          <cell r="Q146" t="str">
            <v>SET #5</v>
          </cell>
        </row>
        <row r="147">
          <cell r="Q147" t="str">
            <v>SET #6</v>
          </cell>
        </row>
        <row r="148">
          <cell r="Q148" t="str">
            <v>SET #7</v>
          </cell>
        </row>
        <row r="149">
          <cell r="Q149" t="str">
            <v>SET #8</v>
          </cell>
        </row>
        <row r="150">
          <cell r="Q150" t="str">
            <v>SET #9</v>
          </cell>
        </row>
        <row r="151">
          <cell r="Q151" t="str">
            <v>STORM GRAY</v>
          </cell>
        </row>
        <row r="152">
          <cell r="Q152" t="str">
            <v>MELANGE BLUE</v>
          </cell>
        </row>
        <row r="153">
          <cell r="Q153" t="str">
            <v>MELANGE GREEN</v>
          </cell>
        </row>
        <row r="199">
          <cell r="Q199" t="str">
            <v>ZZZ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0F14-B3ED-4311-B79F-41780BF79068}">
  <dimension ref="A1:Q7"/>
  <sheetViews>
    <sheetView workbookViewId="0">
      <selection activeCell="A8" sqref="A8"/>
    </sheetView>
  </sheetViews>
  <sheetFormatPr defaultRowHeight="15" x14ac:dyDescent="0.25"/>
  <sheetData>
    <row r="1" spans="1:17" x14ac:dyDescent="0.25">
      <c r="A1" s="26" t="s">
        <v>551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</sheetData>
  <mergeCells count="1">
    <mergeCell ref="A1:Q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B9DB-A07C-40D0-8F6F-9EC443453922}">
  <dimension ref="A1:G1040"/>
  <sheetViews>
    <sheetView tabSelected="1" workbookViewId="0">
      <selection activeCell="G126" sqref="G126:G132"/>
    </sheetView>
  </sheetViews>
  <sheetFormatPr defaultRowHeight="15" x14ac:dyDescent="0.25"/>
  <cols>
    <col min="1" max="1" width="13.7109375" customWidth="1"/>
    <col min="2" max="2" width="52.28515625" customWidth="1"/>
    <col min="3" max="3" width="24.5703125" bestFit="1" customWidth="1"/>
    <col min="4" max="4" width="14.42578125" customWidth="1"/>
    <col min="5" max="5" width="11.85546875" customWidth="1"/>
    <col min="6" max="6" width="31.28515625" customWidth="1"/>
    <col min="7" max="7" width="14.5703125" style="1" customWidth="1"/>
    <col min="8" max="8" width="13.5703125" bestFit="1" customWidth="1"/>
    <col min="9" max="9" width="19.140625" bestFit="1" customWidth="1"/>
    <col min="10" max="10" width="15.5703125" bestFit="1" customWidth="1"/>
    <col min="11" max="11" width="34.7109375" bestFit="1" customWidth="1"/>
  </cols>
  <sheetData>
    <row r="1" spans="1:7" ht="15.75" thickBot="1" x14ac:dyDescent="0.3">
      <c r="A1" s="25" t="s">
        <v>553</v>
      </c>
      <c r="B1" s="25"/>
      <c r="C1" s="25"/>
      <c r="D1" s="24" t="s">
        <v>552</v>
      </c>
      <c r="E1" s="24"/>
      <c r="F1" s="24"/>
      <c r="G1" s="23" t="s">
        <v>554</v>
      </c>
    </row>
    <row r="2" spans="1:7" ht="27" x14ac:dyDescent="0.25">
      <c r="A2" s="3" t="s">
        <v>32</v>
      </c>
      <c r="B2" s="4" t="s">
        <v>33</v>
      </c>
      <c r="C2" s="5" t="s">
        <v>34</v>
      </c>
      <c r="D2" s="4" t="s">
        <v>35</v>
      </c>
      <c r="E2" s="4" t="s">
        <v>36</v>
      </c>
      <c r="F2" s="5" t="s">
        <v>37</v>
      </c>
      <c r="G2" s="22" t="s">
        <v>19</v>
      </c>
    </row>
    <row r="3" spans="1:7" x14ac:dyDescent="0.25">
      <c r="A3" s="6" t="s">
        <v>38</v>
      </c>
      <c r="B3" s="7" t="s">
        <v>139</v>
      </c>
      <c r="C3" s="8" t="s">
        <v>140</v>
      </c>
      <c r="D3" s="9" t="str">
        <f>+VLOOKUP($C3,'[1]CODE GENERATOR'!$D:$J,6,FALSE)</f>
        <v>NAVY</v>
      </c>
      <c r="E3" s="9" t="str">
        <f>+VLOOKUP($C3,'[1]CODE GENERATOR'!$D:$J,7,FALSE)</f>
        <v>GOLD</v>
      </c>
      <c r="F3" s="8" t="str">
        <f>+VLOOKUP(C3,'[1]CODE GENERATOR'!$D:$P,13,FALSE)</f>
        <v>H.RUGFL_FLC0001_FLC0001NAVGLD</v>
      </c>
    </row>
    <row r="4" spans="1:7" x14ac:dyDescent="0.25">
      <c r="A4" s="6" t="s">
        <v>38</v>
      </c>
      <c r="B4" s="7" t="s">
        <v>139</v>
      </c>
      <c r="C4" s="8" t="s">
        <v>141</v>
      </c>
      <c r="D4" s="9" t="str">
        <f>+VLOOKUP($C4,'[1]CODE GENERATOR'!$D:$J,6,FALSE)</f>
        <v>PURPLE</v>
      </c>
      <c r="E4" s="9" t="str">
        <f>+VLOOKUP($C4,'[1]CODE GENERATOR'!$D:$J,7,FALSE)</f>
        <v>GOLD</v>
      </c>
      <c r="F4" s="8" t="str">
        <f>+VLOOKUP(C4,'[1]CODE GENERATOR'!$D:$P,13,FALSE)</f>
        <v>H.RUGFL_FLC0001_FLC0001PURGLD</v>
      </c>
    </row>
    <row r="5" spans="1:7" x14ac:dyDescent="0.25">
      <c r="A5" s="6" t="s">
        <v>38</v>
      </c>
      <c r="B5" s="7" t="s">
        <v>139</v>
      </c>
      <c r="C5" s="8" t="s">
        <v>142</v>
      </c>
      <c r="D5" s="9" t="str">
        <f>+VLOOKUP($C5,'[1]CODE GENERATOR'!$D:$J,6,FALSE)</f>
        <v>GREEN</v>
      </c>
      <c r="E5" s="9" t="str">
        <f>+VLOOKUP($C5,'[1]CODE GENERATOR'!$D:$J,7,FALSE)</f>
        <v>NAVY</v>
      </c>
      <c r="F5" s="8" t="str">
        <f>+VLOOKUP(C5,'[1]CODE GENERATOR'!$D:$P,13,FALSE)</f>
        <v>H.RUGFL_FLC0001_FLC0001GRNNAV</v>
      </c>
    </row>
    <row r="6" spans="1:7" x14ac:dyDescent="0.25">
      <c r="A6" s="6" t="s">
        <v>38</v>
      </c>
      <c r="B6" s="7" t="s">
        <v>139</v>
      </c>
      <c r="C6" s="8" t="s">
        <v>143</v>
      </c>
      <c r="D6" s="9" t="str">
        <f>+VLOOKUP($C6,'[1]CODE GENERATOR'!$D:$J,6,FALSE)</f>
        <v>BLACK</v>
      </c>
      <c r="E6" s="9" t="str">
        <f>+VLOOKUP($C6,'[1]CODE GENERATOR'!$D:$J,7,FALSE)</f>
        <v>ROSE GOLD</v>
      </c>
      <c r="F6" s="8" t="str">
        <f>+VLOOKUP(C6,'[1]CODE GENERATOR'!$D:$P,13,FALSE)</f>
        <v>H.RUGFL_FLC0001_FLC0001BLKRGL</v>
      </c>
    </row>
    <row r="7" spans="1:7" x14ac:dyDescent="0.25">
      <c r="A7" s="6" t="s">
        <v>38</v>
      </c>
      <c r="B7" s="7" t="s">
        <v>139</v>
      </c>
      <c r="C7" s="8" t="s">
        <v>144</v>
      </c>
      <c r="D7" s="9" t="str">
        <f>+VLOOKUP($C7,'[1]CODE GENERATOR'!$D:$J,6,FALSE)</f>
        <v>RED</v>
      </c>
      <c r="E7" s="9" t="str">
        <f>+VLOOKUP($C7,'[1]CODE GENERATOR'!$D:$J,7,FALSE)</f>
        <v>GOLD</v>
      </c>
      <c r="F7" s="8" t="str">
        <f>+VLOOKUP(C7,'[1]CODE GENERATOR'!$D:$P,13,FALSE)</f>
        <v>H.RUGFL_FLC0001_FLC0001REDGLD</v>
      </c>
    </row>
    <row r="8" spans="1:7" x14ac:dyDescent="0.25">
      <c r="A8" s="6" t="s">
        <v>38</v>
      </c>
      <c r="B8" s="7" t="s">
        <v>139</v>
      </c>
      <c r="C8" s="8" t="s">
        <v>145</v>
      </c>
      <c r="D8" s="9" t="str">
        <f>+VLOOKUP($C8,'[1]CODE GENERATOR'!$D:$J,6,FALSE)</f>
        <v>BORDEAUX</v>
      </c>
      <c r="E8" s="9" t="str">
        <f>+VLOOKUP($C8,'[1]CODE GENERATOR'!$D:$J,7,FALSE)</f>
        <v>GOLD</v>
      </c>
      <c r="F8" s="8" t="str">
        <f>+VLOOKUP(C8,'[1]CODE GENERATOR'!$D:$P,13,FALSE)</f>
        <v>H.RUGFL_FLC0001_FLC0001BORGLD</v>
      </c>
    </row>
    <row r="9" spans="1:7" x14ac:dyDescent="0.25">
      <c r="A9" s="6" t="s">
        <v>38</v>
      </c>
      <c r="B9" s="7" t="s">
        <v>139</v>
      </c>
      <c r="C9" s="8" t="s">
        <v>146</v>
      </c>
      <c r="D9" s="9" t="str">
        <f>+VLOOKUP($C9,'[1]CODE GENERATOR'!$D:$J,6,FALSE)</f>
        <v>LILAC</v>
      </c>
      <c r="E9" s="9" t="str">
        <f>+VLOOKUP($C9,'[1]CODE GENERATOR'!$D:$J,7,FALSE)</f>
        <v>WHITE</v>
      </c>
      <c r="F9" s="8" t="str">
        <f>+VLOOKUP(C9,'[1]CODE GENERATOR'!$D:$P,13,FALSE)</f>
        <v>H.RUGFL_FLC0001_FLC0001LILWHT</v>
      </c>
    </row>
    <row r="10" spans="1:7" x14ac:dyDescent="0.25">
      <c r="A10" s="6" t="s">
        <v>38</v>
      </c>
      <c r="B10" s="7" t="s">
        <v>139</v>
      </c>
      <c r="C10" s="8" t="s">
        <v>147</v>
      </c>
      <c r="D10" s="9" t="str">
        <f>+VLOOKUP($C10,'[1]CODE GENERATOR'!$D:$J,6,FALSE)</f>
        <v>BLACK</v>
      </c>
      <c r="E10" s="9" t="str">
        <f>+VLOOKUP($C10,'[1]CODE GENERATOR'!$D:$J,7,FALSE)</f>
        <v>GOLD</v>
      </c>
      <c r="F10" s="8" t="str">
        <f>+VLOOKUP(C10,'[1]CODE GENERATOR'!$D:$P,13,FALSE)</f>
        <v>H.RUGFL_FLC0001_FLC0001BLKGLD</v>
      </c>
    </row>
    <row r="11" spans="1:7" x14ac:dyDescent="0.25">
      <c r="A11" s="6" t="s">
        <v>38</v>
      </c>
      <c r="B11" s="7" t="s">
        <v>139</v>
      </c>
      <c r="C11" s="8" t="s">
        <v>148</v>
      </c>
      <c r="D11" s="9" t="str">
        <f>+VLOOKUP($C11,'[1]CODE GENERATOR'!$D:$J,6,FALSE)</f>
        <v>NAVY</v>
      </c>
      <c r="E11" s="9" t="str">
        <f>+VLOOKUP($C11,'[1]CODE GENERATOR'!$D:$J,7,FALSE)</f>
        <v>RED</v>
      </c>
      <c r="F11" s="8" t="str">
        <f>+VLOOKUP(C11,'[1]CODE GENERATOR'!$D:$P,13,FALSE)</f>
        <v>H.RUGFL_FLC0001_FLC0001NAVRED</v>
      </c>
    </row>
    <row r="12" spans="1:7" x14ac:dyDescent="0.25">
      <c r="A12" s="6" t="s">
        <v>38</v>
      </c>
      <c r="B12" s="7" t="s">
        <v>139</v>
      </c>
      <c r="C12" s="10" t="s">
        <v>149</v>
      </c>
      <c r="D12" s="9" t="str">
        <f>+VLOOKUP($C12,'[1]CODE GENERATOR'!$D:$J,6,FALSE)</f>
        <v>RED</v>
      </c>
      <c r="E12" s="9" t="str">
        <f>+VLOOKUP($C12,'[1]CODE GENERATOR'!$D:$J,7,FALSE)</f>
        <v>WHITE</v>
      </c>
      <c r="F12" s="8" t="str">
        <f>+VLOOKUP(C12,'[1]CODE GENERATOR'!$D:$P,13,FALSE)</f>
        <v>H.RUGFL_FLC0001_FLC0001REDWHT</v>
      </c>
    </row>
    <row r="13" spans="1:7" x14ac:dyDescent="0.25">
      <c r="A13" s="6" t="s">
        <v>39</v>
      </c>
      <c r="B13" s="7" t="s">
        <v>150</v>
      </c>
      <c r="C13" s="8" t="s">
        <v>151</v>
      </c>
      <c r="D13" s="9" t="str">
        <f>+VLOOKUP($C13,'[1]CODE GENERATOR'!$D:$J,6,FALSE)</f>
        <v>BROWN</v>
      </c>
      <c r="E13" s="9" t="str">
        <f>+VLOOKUP($C13,'[1]CODE GENERATOR'!$D:$J,7,FALSE)</f>
        <v>ROSE GOLD</v>
      </c>
      <c r="F13" s="8" t="str">
        <f>+VLOOKUP(C13,'[1]CODE GENERATOR'!$D:$P,13,FALSE)</f>
        <v>H.RUGFL_FLC0002_FLC0001BRWRGL</v>
      </c>
    </row>
    <row r="14" spans="1:7" x14ac:dyDescent="0.25">
      <c r="A14" s="6" t="s">
        <v>39</v>
      </c>
      <c r="B14" s="7" t="s">
        <v>150</v>
      </c>
      <c r="C14" s="10" t="s">
        <v>152</v>
      </c>
      <c r="D14" s="9" t="str">
        <f>+VLOOKUP($C14,'[1]CODE GENERATOR'!$D:$J,6,FALSE)</f>
        <v>ELECTRIC BLUE</v>
      </c>
      <c r="E14" s="9" t="str">
        <f>+VLOOKUP($C14,'[1]CODE GENERATOR'!$D:$J,7,FALSE)</f>
        <v>ORANGE</v>
      </c>
      <c r="F14" s="8" t="str">
        <f>+VLOOKUP(C14,'[1]CODE GENERATOR'!$D:$P,13,FALSE)</f>
        <v>H.RUGFL_FLC0002_FLC0001ELBORG</v>
      </c>
    </row>
    <row r="15" spans="1:7" x14ac:dyDescent="0.25">
      <c r="A15" s="6" t="s">
        <v>40</v>
      </c>
      <c r="B15" s="7" t="s">
        <v>153</v>
      </c>
      <c r="C15" s="8" t="s">
        <v>154</v>
      </c>
      <c r="D15" s="9" t="str">
        <f>+VLOOKUP($C15,'[1]CODE GENERATOR'!$D:$J,6,FALSE)</f>
        <v>MULTI-COLOR CHECK</v>
      </c>
      <c r="E15" s="9" t="str">
        <f>+VLOOKUP($C15,'[1]CODE GENERATOR'!$D:$J,7,FALSE)</f>
        <v>NAVY</v>
      </c>
      <c r="F15" s="8" t="str">
        <f>+VLOOKUP(C15,'[1]CODE GENERATOR'!$D:$P,13,FALSE)</f>
        <v>H.RUGFL_COO0003_KNT0002MTCNAV</v>
      </c>
    </row>
    <row r="16" spans="1:7" x14ac:dyDescent="0.25">
      <c r="A16" s="6" t="s">
        <v>41</v>
      </c>
      <c r="B16" s="7" t="s">
        <v>155</v>
      </c>
      <c r="C16" s="8" t="s">
        <v>156</v>
      </c>
      <c r="D16" s="9" t="str">
        <f>+VLOOKUP($C16,'[1]CODE GENERATOR'!$D:$J,6,FALSE)</f>
        <v>GREEN</v>
      </c>
      <c r="E16" s="9" t="str">
        <f>+VLOOKUP($C16,'[1]CODE GENERATOR'!$D:$J,7,FALSE)</f>
        <v>NAVY</v>
      </c>
      <c r="F16" s="8" t="str">
        <f>+VLOOKUP(C16,'[1]CODE GENERATOR'!$D:$P,13,FALSE)</f>
        <v>H.RUGFL_FLC0004_FLC0001GRNNAV</v>
      </c>
    </row>
    <row r="17" spans="1:6" x14ac:dyDescent="0.25">
      <c r="A17" s="6" t="s">
        <v>41</v>
      </c>
      <c r="B17" s="7" t="s">
        <v>155</v>
      </c>
      <c r="C17" s="8" t="s">
        <v>157</v>
      </c>
      <c r="D17" s="9" t="str">
        <f>+VLOOKUP($C17,'[1]CODE GENERATOR'!$D:$J,6,FALSE)</f>
        <v>NAVY</v>
      </c>
      <c r="E17" s="9" t="str">
        <f>+VLOOKUP($C17,'[1]CODE GENERATOR'!$D:$J,7,FALSE)</f>
        <v>BORDEAUX</v>
      </c>
      <c r="F17" s="8" t="str">
        <f>+VLOOKUP(C17,'[1]CODE GENERATOR'!$D:$P,13,FALSE)</f>
        <v>H.RUGFL_FLC0004_FLC0001NAVBOR</v>
      </c>
    </row>
    <row r="18" spans="1:6" x14ac:dyDescent="0.25">
      <c r="A18" s="6" t="s">
        <v>42</v>
      </c>
      <c r="B18" s="7" t="s">
        <v>158</v>
      </c>
      <c r="C18" s="8" t="s">
        <v>159</v>
      </c>
      <c r="D18" s="9" t="str">
        <f>+VLOOKUP($C18,'[1]CODE GENERATOR'!$D:$J,6,FALSE)</f>
        <v>BLACK</v>
      </c>
      <c r="E18" s="9" t="str">
        <f>+VLOOKUP($C18,'[1]CODE GENERATOR'!$D:$J,7,FALSE)</f>
        <v>BLACK</v>
      </c>
      <c r="F18" s="8" t="str">
        <f>+VLOOKUP(C18,'[1]CODE GENERATOR'!$D:$P,13,FALSE)</f>
        <v>H.RUGFL_STR0005_RPS0003BLKBLK</v>
      </c>
    </row>
    <row r="19" spans="1:6" x14ac:dyDescent="0.25">
      <c r="A19" s="6" t="s">
        <v>42</v>
      </c>
      <c r="B19" s="7" t="s">
        <v>158</v>
      </c>
      <c r="C19" s="8" t="s">
        <v>160</v>
      </c>
      <c r="D19" s="9" t="str">
        <f>+VLOOKUP($C19,'[1]CODE GENERATOR'!$D:$J,6,FALSE)</f>
        <v>NAVY</v>
      </c>
      <c r="E19" s="9" t="str">
        <f>+VLOOKUP($C19,'[1]CODE GENERATOR'!$D:$J,7,FALSE)</f>
        <v>NAVY</v>
      </c>
      <c r="F19" s="8" t="str">
        <f>+VLOOKUP(C19,'[1]CODE GENERATOR'!$D:$P,13,FALSE)</f>
        <v>H.RUGFL_STR0005_RPS0003NAVNAV</v>
      </c>
    </row>
    <row r="20" spans="1:6" x14ac:dyDescent="0.25">
      <c r="A20" s="6" t="s">
        <v>42</v>
      </c>
      <c r="B20" s="7" t="s">
        <v>158</v>
      </c>
      <c r="C20" s="8" t="s">
        <v>161</v>
      </c>
      <c r="D20" s="9" t="str">
        <f>+VLOOKUP($C20,'[1]CODE GENERATOR'!$D:$J,6,FALSE)</f>
        <v>BORDEAUX</v>
      </c>
      <c r="E20" s="9" t="str">
        <f>+VLOOKUP($C20,'[1]CODE GENERATOR'!$D:$J,7,FALSE)</f>
        <v>BORDEAUX</v>
      </c>
      <c r="F20" s="8" t="str">
        <f>+VLOOKUP(C20,'[1]CODE GENERATOR'!$D:$P,13,FALSE)</f>
        <v>H.RUGFL_STR0005_RPS0003BORBOR</v>
      </c>
    </row>
    <row r="21" spans="1:6" x14ac:dyDescent="0.25">
      <c r="A21" s="6" t="s">
        <v>42</v>
      </c>
      <c r="B21" s="7" t="s">
        <v>158</v>
      </c>
      <c r="C21" s="8" t="s">
        <v>162</v>
      </c>
      <c r="D21" s="9" t="str">
        <f>+VLOOKUP($C21,'[1]CODE GENERATOR'!$D:$J,6,FALSE)</f>
        <v>ELECTRIC BLUE</v>
      </c>
      <c r="E21" s="9" t="str">
        <f>+VLOOKUP($C21,'[1]CODE GENERATOR'!$D:$J,7,FALSE)</f>
        <v>ELECTRIC BLUE</v>
      </c>
      <c r="F21" s="8" t="str">
        <f>+VLOOKUP(C21,'[1]CODE GENERATOR'!$D:$P,13,FALSE)</f>
        <v>H.RUGFL_STR0005_RPS0003ELBELB</v>
      </c>
    </row>
    <row r="22" spans="1:6" x14ac:dyDescent="0.25">
      <c r="A22" s="6" t="s">
        <v>42</v>
      </c>
      <c r="B22" s="7" t="s">
        <v>158</v>
      </c>
      <c r="C22" s="8" t="s">
        <v>163</v>
      </c>
      <c r="D22" s="9" t="str">
        <f>+VLOOKUP($C22,'[1]CODE GENERATOR'!$D:$J,6,FALSE)</f>
        <v>GREEN</v>
      </c>
      <c r="E22" s="9" t="str">
        <f>+VLOOKUP($C22,'[1]CODE GENERATOR'!$D:$J,7,FALSE)</f>
        <v>GREEN</v>
      </c>
      <c r="F22" s="8" t="str">
        <f>+VLOOKUP(C22,'[1]CODE GENERATOR'!$D:$P,13,FALSE)</f>
        <v>H.RUGFL_STR0005_RPS0003GRNGRN</v>
      </c>
    </row>
    <row r="23" spans="1:6" x14ac:dyDescent="0.25">
      <c r="A23" s="6" t="s">
        <v>43</v>
      </c>
      <c r="B23" s="7" t="s">
        <v>164</v>
      </c>
      <c r="C23" s="8" t="s">
        <v>165</v>
      </c>
      <c r="D23" s="9" t="str">
        <f>+VLOOKUP($C23,'[1]CODE GENERATOR'!$D:$J,6,FALSE)</f>
        <v>LIGHT GRAY</v>
      </c>
      <c r="E23" s="9" t="str">
        <f>+VLOOKUP($C23,'[1]CODE GENERATOR'!$D:$J,7,FALSE)</f>
        <v>BORDEAUX</v>
      </c>
      <c r="F23" s="8" t="str">
        <f>+VLOOKUP(C23,'[1]CODE GENERATOR'!$D:$P,13,FALSE)</f>
        <v>H.FLYFL_FLS0006_MSH0004LGYBOR</v>
      </c>
    </row>
    <row r="24" spans="1:6" x14ac:dyDescent="0.25">
      <c r="A24" s="6" t="s">
        <v>43</v>
      </c>
      <c r="B24" s="7" t="s">
        <v>164</v>
      </c>
      <c r="C24" s="8" t="s">
        <v>166</v>
      </c>
      <c r="D24" s="9" t="str">
        <f>+VLOOKUP($C24,'[1]CODE GENERATOR'!$D:$J,6,FALSE)</f>
        <v>BLACK</v>
      </c>
      <c r="E24" s="9" t="str">
        <f>+VLOOKUP($C24,'[1]CODE GENERATOR'!$D:$J,7,FALSE)</f>
        <v>BLACK</v>
      </c>
      <c r="F24" s="8" t="str">
        <f>+VLOOKUP(C24,'[1]CODE GENERATOR'!$D:$P,13,FALSE)</f>
        <v>H.FLYFL_FLS0006_MSH0004BLKBLK</v>
      </c>
    </row>
    <row r="25" spans="1:6" x14ac:dyDescent="0.25">
      <c r="A25" s="6" t="s">
        <v>44</v>
      </c>
      <c r="B25" s="7" t="s">
        <v>167</v>
      </c>
      <c r="C25" s="8" t="s">
        <v>168</v>
      </c>
      <c r="D25" s="9" t="str">
        <f>+VLOOKUP($C25,'[1]CODE GENERATOR'!$D:$J,6,FALSE)</f>
        <v>BLACK</v>
      </c>
      <c r="E25" s="9" t="str">
        <f>+VLOOKUP($C25,'[1]CODE GENERATOR'!$D:$J,7,FALSE)</f>
        <v>GOLD</v>
      </c>
      <c r="F25" s="8" t="str">
        <f>+VLOOKUP(C25,'[1]CODE GENERATOR'!$D:$P,13,FALSE)</f>
        <v>H.RUGFL_EXS0007_FLC0001BLKGLD</v>
      </c>
    </row>
    <row r="26" spans="1:6" x14ac:dyDescent="0.25">
      <c r="A26" s="6" t="s">
        <v>44</v>
      </c>
      <c r="B26" s="7" t="s">
        <v>167</v>
      </c>
      <c r="C26" s="8" t="s">
        <v>169</v>
      </c>
      <c r="D26" s="9" t="str">
        <f>+VLOOKUP($C26,'[1]CODE GENERATOR'!$D:$J,6,FALSE)</f>
        <v>BORDEAUX</v>
      </c>
      <c r="E26" s="9" t="str">
        <f>+VLOOKUP($C26,'[1]CODE GENERATOR'!$D:$J,7,FALSE)</f>
        <v>GOLD</v>
      </c>
      <c r="F26" s="8" t="str">
        <f>+VLOOKUP(C26,'[1]CODE GENERATOR'!$D:$P,13,FALSE)</f>
        <v>H.RUGFL_EXS0007_FLC0001BORGLD</v>
      </c>
    </row>
    <row r="27" spans="1:6" x14ac:dyDescent="0.25">
      <c r="A27" s="6" t="s">
        <v>44</v>
      </c>
      <c r="B27" s="7" t="s">
        <v>167</v>
      </c>
      <c r="C27" s="8" t="s">
        <v>170</v>
      </c>
      <c r="D27" s="9" t="str">
        <f>+VLOOKUP($C27,'[1]CODE GENERATOR'!$D:$J,6,FALSE)</f>
        <v>PURPLE</v>
      </c>
      <c r="E27" s="9" t="str">
        <f>+VLOOKUP($C27,'[1]CODE GENERATOR'!$D:$J,7,FALSE)</f>
        <v>GOLD</v>
      </c>
      <c r="F27" s="8" t="str">
        <f>+VLOOKUP(C27,'[1]CODE GENERATOR'!$D:$P,13,FALSE)</f>
        <v>H.RUGFL_EXS0007_FLC0001PURGLD</v>
      </c>
    </row>
    <row r="28" spans="1:6" x14ac:dyDescent="0.25">
      <c r="A28" s="6" t="s">
        <v>44</v>
      </c>
      <c r="B28" s="7" t="s">
        <v>167</v>
      </c>
      <c r="C28" s="8" t="s">
        <v>171</v>
      </c>
      <c r="D28" s="9" t="str">
        <f>+VLOOKUP($C28,'[1]CODE GENERATOR'!$D:$J,6,FALSE)</f>
        <v>BLACK</v>
      </c>
      <c r="E28" s="9" t="str">
        <f>+VLOOKUP($C28,'[1]CODE GENERATOR'!$D:$J,7,FALSE)</f>
        <v>ROSE GOLD</v>
      </c>
      <c r="F28" s="8" t="str">
        <f>+VLOOKUP(C28,'[1]CODE GENERATOR'!$D:$P,13,FALSE)</f>
        <v>H.RUGFL_EXS0007_FLC0001BLKRGL</v>
      </c>
    </row>
    <row r="29" spans="1:6" x14ac:dyDescent="0.25">
      <c r="A29" s="6" t="s">
        <v>44</v>
      </c>
      <c r="B29" s="7" t="s">
        <v>167</v>
      </c>
      <c r="C29" s="8" t="s">
        <v>172</v>
      </c>
      <c r="D29" s="9" t="str">
        <f>+VLOOKUP($C29,'[1]CODE GENERATOR'!$D:$J,6,FALSE)</f>
        <v>DARK GRAY</v>
      </c>
      <c r="E29" s="9" t="str">
        <f>+VLOOKUP($C29,'[1]CODE GENERATOR'!$D:$J,7,FALSE)</f>
        <v>BLACK</v>
      </c>
      <c r="F29" s="8" t="str">
        <f>+VLOOKUP(C29,'[1]CODE GENERATOR'!$D:$P,13,FALSE)</f>
        <v>H.RUGFL_EXS0007_FLC0001DGYBLK</v>
      </c>
    </row>
    <row r="30" spans="1:6" x14ac:dyDescent="0.25">
      <c r="A30" s="6" t="s">
        <v>45</v>
      </c>
      <c r="B30" s="7" t="s">
        <v>173</v>
      </c>
      <c r="C30" s="8" t="s">
        <v>174</v>
      </c>
      <c r="D30" s="9" t="str">
        <f>+VLOOKUP($C30,'[1]CODE GENERATOR'!$D:$J,6,FALSE)</f>
        <v>BLUE-BLACK</v>
      </c>
      <c r="E30" s="9" t="str">
        <f>+VLOOKUP($C30,'[1]CODE GENERATOR'!$D:$J,7,FALSE)</f>
        <v>GOLD</v>
      </c>
      <c r="F30" s="8" t="str">
        <f>+VLOOKUP(C30,'[1]CODE GENERATOR'!$D:$P,13,FALSE)</f>
        <v>H.RUGFL_RXS0008_RPN0005BBLGLD</v>
      </c>
    </row>
    <row r="31" spans="1:6" x14ac:dyDescent="0.25">
      <c r="A31" s="6" t="s">
        <v>45</v>
      </c>
      <c r="B31" s="7" t="s">
        <v>173</v>
      </c>
      <c r="C31" s="8" t="s">
        <v>175</v>
      </c>
      <c r="D31" s="9" t="str">
        <f>+VLOOKUP($C31,'[1]CODE GENERATOR'!$D:$J,6,FALSE)</f>
        <v>BORDEAUX</v>
      </c>
      <c r="E31" s="9" t="str">
        <f>+VLOOKUP($C31,'[1]CODE GENERATOR'!$D:$J,7,FALSE)</f>
        <v>BLACK</v>
      </c>
      <c r="F31" s="8" t="str">
        <f>+VLOOKUP(C31,'[1]CODE GENERATOR'!$D:$P,13,FALSE)</f>
        <v>H.RUGFL_RXS0008_RPN0005BORBLK</v>
      </c>
    </row>
    <row r="32" spans="1:6" x14ac:dyDescent="0.25">
      <c r="A32" s="6" t="s">
        <v>45</v>
      </c>
      <c r="B32" s="7" t="s">
        <v>173</v>
      </c>
      <c r="C32" s="8" t="s">
        <v>176</v>
      </c>
      <c r="D32" s="9" t="str">
        <f>+VLOOKUP($C32,'[1]CODE GENERATOR'!$D:$J,6,FALSE)</f>
        <v>BEIGE</v>
      </c>
      <c r="E32" s="9" t="str">
        <f>+VLOOKUP($C32,'[1]CODE GENERATOR'!$D:$J,7,FALSE)</f>
        <v>BLACK</v>
      </c>
      <c r="F32" s="8" t="str">
        <f>+VLOOKUP(C32,'[1]CODE GENERATOR'!$D:$P,13,FALSE)</f>
        <v>H.RUGFL_RXS0008_RPN0005BEGBLK</v>
      </c>
    </row>
    <row r="33" spans="1:6" x14ac:dyDescent="0.25">
      <c r="A33" s="6" t="s">
        <v>45</v>
      </c>
      <c r="B33" s="7" t="s">
        <v>173</v>
      </c>
      <c r="C33" s="8" t="s">
        <v>177</v>
      </c>
      <c r="D33" s="9" t="str">
        <f>+VLOOKUP($C33,'[1]CODE GENERATOR'!$D:$J,6,FALSE)</f>
        <v>BLACK</v>
      </c>
      <c r="E33" s="9" t="str">
        <f>+VLOOKUP($C33,'[1]CODE GENERATOR'!$D:$J,7,FALSE)</f>
        <v>GOLD</v>
      </c>
      <c r="F33" s="8" t="str">
        <f>+VLOOKUP(C33,'[1]CODE GENERATOR'!$D:$P,13,FALSE)</f>
        <v>H.RUGFL_RXS0008_RPN0005BLKGLD</v>
      </c>
    </row>
    <row r="34" spans="1:6" x14ac:dyDescent="0.25">
      <c r="A34" s="6" t="s">
        <v>46</v>
      </c>
      <c r="B34" s="7" t="s">
        <v>178</v>
      </c>
      <c r="C34" s="8" t="s">
        <v>179</v>
      </c>
      <c r="D34" s="9" t="str">
        <f>+VLOOKUP($C34,'[1]CODE GENERATOR'!$D:$J,6,FALSE)</f>
        <v>BEIGE</v>
      </c>
      <c r="E34" s="9" t="str">
        <f>+VLOOKUP($C34,'[1]CODE GENERATOR'!$D:$J,7,FALSE)</f>
        <v>BROWN</v>
      </c>
      <c r="F34" s="8" t="str">
        <f>+VLOOKUP(C34,'[1]CODE GENERATOR'!$D:$P,13,FALSE)</f>
        <v>H.PADFL_SPD0009_TWL0007BEGBRW</v>
      </c>
    </row>
    <row r="35" spans="1:6" x14ac:dyDescent="0.25">
      <c r="A35" s="6" t="s">
        <v>46</v>
      </c>
      <c r="B35" s="7" t="s">
        <v>178</v>
      </c>
      <c r="C35" s="8" t="s">
        <v>180</v>
      </c>
      <c r="D35" s="9" t="str">
        <f>+VLOOKUP($C35,'[1]CODE GENERATOR'!$D:$J,6,FALSE)</f>
        <v>WHITE</v>
      </c>
      <c r="E35" s="9" t="str">
        <f>+VLOOKUP($C35,'[1]CODE GENERATOR'!$D:$J,7,FALSE)</f>
        <v>WHITE</v>
      </c>
      <c r="F35" s="8" t="str">
        <f>+VLOOKUP(C35,'[1]CODE GENERATOR'!$D:$P,13,FALSE)</f>
        <v>H.PADFL_SPD0009_TWL0007WHTWHT</v>
      </c>
    </row>
    <row r="36" spans="1:6" x14ac:dyDescent="0.25">
      <c r="A36" s="6" t="s">
        <v>47</v>
      </c>
      <c r="B36" s="7" t="s">
        <v>181</v>
      </c>
      <c r="C36" s="8" t="s">
        <v>182</v>
      </c>
      <c r="D36" s="9" t="str">
        <f>+VLOOKUP($C36,'[1]CODE GENERATOR'!$D:$J,6,FALSE)</f>
        <v>NAVY</v>
      </c>
      <c r="E36" s="9" t="str">
        <f>+VLOOKUP($C36,'[1]CODE GENERATOR'!$D:$J,7,FALSE)</f>
        <v>NAVY</v>
      </c>
      <c r="F36" s="8" t="str">
        <f>+VLOOKUP(C36,'[1]CODE GENERATOR'!$D:$P,13,FALSE)</f>
        <v>H.PADFL_SPR0010_SUE0010NAVNAV</v>
      </c>
    </row>
    <row r="37" spans="1:6" x14ac:dyDescent="0.25">
      <c r="A37" s="6" t="s">
        <v>47</v>
      </c>
      <c r="B37" s="7" t="s">
        <v>181</v>
      </c>
      <c r="C37" s="8" t="s">
        <v>183</v>
      </c>
      <c r="D37" s="9" t="str">
        <f>+VLOOKUP($C37,'[1]CODE GENERATOR'!$D:$J,6,FALSE)</f>
        <v>ROYAL BLUE</v>
      </c>
      <c r="E37" s="9" t="str">
        <f>+VLOOKUP($C37,'[1]CODE GENERATOR'!$D:$J,7,FALSE)</f>
        <v>ROYAL BLUE</v>
      </c>
      <c r="F37" s="8" t="str">
        <f>+VLOOKUP(C37,'[1]CODE GENERATOR'!$D:$P,13,FALSE)</f>
        <v>H.PADFL_SPR0010_SUE0010RYLRYL</v>
      </c>
    </row>
    <row r="38" spans="1:6" x14ac:dyDescent="0.25">
      <c r="A38" s="6" t="s">
        <v>47</v>
      </c>
      <c r="B38" s="7" t="s">
        <v>181</v>
      </c>
      <c r="C38" s="8" t="s">
        <v>184</v>
      </c>
      <c r="D38" s="9" t="str">
        <f>+VLOOKUP($C38,'[1]CODE GENERATOR'!$D:$J,6,FALSE)</f>
        <v>CHOCOLATE</v>
      </c>
      <c r="E38" s="9" t="str">
        <f>+VLOOKUP($C38,'[1]CODE GENERATOR'!$D:$J,7,FALSE)</f>
        <v>CHOCOLATE</v>
      </c>
      <c r="F38" s="8" t="str">
        <f>+VLOOKUP(C38,'[1]CODE GENERATOR'!$D:$P,13,FALSE)</f>
        <v>H.PADFL_SPR0010_SUE0010CHOCHO</v>
      </c>
    </row>
    <row r="39" spans="1:6" x14ac:dyDescent="0.25">
      <c r="A39" s="6" t="s">
        <v>47</v>
      </c>
      <c r="B39" s="7" t="s">
        <v>181</v>
      </c>
      <c r="C39" s="8" t="s">
        <v>185</v>
      </c>
      <c r="D39" s="9" t="str">
        <f>+VLOOKUP($C39,'[1]CODE GENERATOR'!$D:$J,6,FALSE)</f>
        <v>LATTE</v>
      </c>
      <c r="E39" s="9" t="str">
        <f>+VLOOKUP($C39,'[1]CODE GENERATOR'!$D:$J,7,FALSE)</f>
        <v>LATTE</v>
      </c>
      <c r="F39" s="8" t="str">
        <f>+VLOOKUP(C39,'[1]CODE GENERATOR'!$D:$P,13,FALSE)</f>
        <v>H.PADFL_SPR0010_SUE0010LATLAT</v>
      </c>
    </row>
    <row r="40" spans="1:6" x14ac:dyDescent="0.25">
      <c r="A40" s="6" t="s">
        <v>48</v>
      </c>
      <c r="B40" s="7" t="s">
        <v>186</v>
      </c>
      <c r="C40" s="8" t="s">
        <v>187</v>
      </c>
      <c r="D40" s="9" t="str">
        <f>+VLOOKUP($C40,'[1]CODE GENERATOR'!$D:$J,6,FALSE)</f>
        <v>FUCHSIA</v>
      </c>
      <c r="E40" s="9" t="str">
        <f>+VLOOKUP($C40,'[1]CODE GENERATOR'!$D:$J,7,FALSE)</f>
        <v>BLACK</v>
      </c>
      <c r="F40" s="8" t="str">
        <f>+VLOOKUP(C40,'[1]CODE GENERATOR'!$D:$P,13,FALSE)</f>
        <v>H.PADFL_SPH0011_STN0008FCHBLK</v>
      </c>
    </row>
    <row r="41" spans="1:6" x14ac:dyDescent="0.25">
      <c r="A41" s="6" t="s">
        <v>48</v>
      </c>
      <c r="B41" s="7" t="s">
        <v>186</v>
      </c>
      <c r="C41" s="8" t="s">
        <v>188</v>
      </c>
      <c r="D41" s="9" t="str">
        <f>+VLOOKUP($C41,'[1]CODE GENERATOR'!$D:$J,6,FALSE)</f>
        <v>NAVY</v>
      </c>
      <c r="E41" s="9" t="str">
        <f>+VLOOKUP($C41,'[1]CODE GENERATOR'!$D:$J,7,FALSE)</f>
        <v>GOLD</v>
      </c>
      <c r="F41" s="8" t="str">
        <f>+VLOOKUP(C41,'[1]CODE GENERATOR'!$D:$P,13,FALSE)</f>
        <v>H.PADFL_SPH0011_TWL0008NAVGLD</v>
      </c>
    </row>
    <row r="42" spans="1:6" x14ac:dyDescent="0.25">
      <c r="A42" s="6" t="s">
        <v>48</v>
      </c>
      <c r="B42" s="7" t="s">
        <v>186</v>
      </c>
      <c r="C42" s="8" t="s">
        <v>189</v>
      </c>
      <c r="D42" s="9" t="str">
        <f>+VLOOKUP($C42,'[1]CODE GENERATOR'!$D:$J,6,FALSE)</f>
        <v>ROYAL BLUE</v>
      </c>
      <c r="E42" s="9" t="str">
        <f>+VLOOKUP($C42,'[1]CODE GENERATOR'!$D:$J,7,FALSE)</f>
        <v>BRONZE</v>
      </c>
      <c r="F42" s="8" t="str">
        <f>+VLOOKUP(C42,'[1]CODE GENERATOR'!$D:$P,13,FALSE)</f>
        <v>H.PADFL_SPH0011_TWL0008RYLBRZ</v>
      </c>
    </row>
    <row r="43" spans="1:6" x14ac:dyDescent="0.25">
      <c r="A43" s="6" t="s">
        <v>48</v>
      </c>
      <c r="B43" s="7" t="s">
        <v>186</v>
      </c>
      <c r="C43" s="8" t="s">
        <v>190</v>
      </c>
      <c r="D43" s="9" t="str">
        <f>+VLOOKUP($C43,'[1]CODE GENERATOR'!$D:$J,6,FALSE)</f>
        <v>WHITE</v>
      </c>
      <c r="E43" s="9" t="str">
        <f>+VLOOKUP($C43,'[1]CODE GENERATOR'!$D:$J,7,FALSE)</f>
        <v>WHITE</v>
      </c>
      <c r="F43" s="8" t="str">
        <f>+VLOOKUP(C43,'[1]CODE GENERATOR'!$D:$P,13,FALSE)</f>
        <v>H.PADFL_SPH0011_TWL0008WHTWHT</v>
      </c>
    </row>
    <row r="44" spans="1:6" x14ac:dyDescent="0.25">
      <c r="A44" s="6" t="s">
        <v>48</v>
      </c>
      <c r="B44" s="7" t="s">
        <v>186</v>
      </c>
      <c r="C44" s="8" t="s">
        <v>191</v>
      </c>
      <c r="D44" s="9" t="str">
        <f>+VLOOKUP($C44,'[1]CODE GENERATOR'!$D:$J,6,FALSE)</f>
        <v>BLACK</v>
      </c>
      <c r="E44" s="9" t="str">
        <f>+VLOOKUP($C44,'[1]CODE GENERATOR'!$D:$J,7,FALSE)</f>
        <v>GOLD</v>
      </c>
      <c r="F44" s="8" t="str">
        <f>+VLOOKUP(C44,'[1]CODE GENERATOR'!$D:$P,13,FALSE)</f>
        <v>H.PADFL_SPH0011_STN0008BLKGLD</v>
      </c>
    </row>
    <row r="45" spans="1:6" x14ac:dyDescent="0.25">
      <c r="A45" s="6" t="s">
        <v>48</v>
      </c>
      <c r="B45" s="7" t="s">
        <v>186</v>
      </c>
      <c r="C45" s="8" t="s">
        <v>192</v>
      </c>
      <c r="D45" s="9" t="str">
        <f>+VLOOKUP($C45,'[1]CODE GENERATOR'!$D:$J,6,FALSE)</f>
        <v>ORANGE</v>
      </c>
      <c r="E45" s="9" t="str">
        <f>+VLOOKUP($C45,'[1]CODE GENERATOR'!$D:$J,7,FALSE)</f>
        <v>ORANGE</v>
      </c>
      <c r="F45" s="8" t="str">
        <f>+VLOOKUP(C45,'[1]CODE GENERATOR'!$D:$P,13,FALSE)</f>
        <v>H.PADFL_SPH0011_TWL0009ORGORG</v>
      </c>
    </row>
    <row r="46" spans="1:6" x14ac:dyDescent="0.25">
      <c r="A46" s="6" t="s">
        <v>48</v>
      </c>
      <c r="B46" s="7" t="s">
        <v>186</v>
      </c>
      <c r="C46" s="8" t="s">
        <v>193</v>
      </c>
      <c r="D46" s="9" t="str">
        <f>+VLOOKUP($C46,'[1]CODE GENERATOR'!$D:$J,6,FALSE)</f>
        <v>ELECTRIC BLUE</v>
      </c>
      <c r="E46" s="9" t="str">
        <f>+VLOOKUP($C46,'[1]CODE GENERATOR'!$D:$J,7,FALSE)</f>
        <v>ELECTRIC BLUE</v>
      </c>
      <c r="F46" s="8" t="str">
        <f>+VLOOKUP(C46,'[1]CODE GENERATOR'!$D:$P,13,FALSE)</f>
        <v>H.PADFL_SPH0011_STN0008ELBELB</v>
      </c>
    </row>
    <row r="47" spans="1:6" x14ac:dyDescent="0.25">
      <c r="A47" s="6" t="s">
        <v>49</v>
      </c>
      <c r="B47" s="7" t="s">
        <v>194</v>
      </c>
      <c r="C47" s="8" t="s">
        <v>195</v>
      </c>
      <c r="D47" s="9" t="str">
        <f>+VLOOKUP($C47,'[1]CODE GENERATOR'!$D:$J,6,FALSE)</f>
        <v>BLACK</v>
      </c>
      <c r="E47" s="9" t="str">
        <f>+VLOOKUP($C47,'[1]CODE GENERATOR'!$D:$J,7,FALSE)</f>
        <v>BLACK</v>
      </c>
      <c r="F47" s="8" t="str">
        <f>+VLOOKUP(C47,'[1]CODE GENERATOR'!$D:$P,13,FALSE)</f>
        <v>H.PADFL_SPD0012_STN0006BLKBLK</v>
      </c>
    </row>
    <row r="48" spans="1:6" x14ac:dyDescent="0.25">
      <c r="A48" s="6" t="s">
        <v>49</v>
      </c>
      <c r="B48" s="7" t="s">
        <v>194</v>
      </c>
      <c r="C48" s="8" t="s">
        <v>196</v>
      </c>
      <c r="D48" s="9" t="str">
        <f>+VLOOKUP($C48,'[1]CODE GENERATOR'!$D:$J,6,FALSE)</f>
        <v>BROWN</v>
      </c>
      <c r="E48" s="9" t="str">
        <f>+VLOOKUP($C48,'[1]CODE GENERATOR'!$D:$J,7,FALSE)</f>
        <v>GOLD</v>
      </c>
      <c r="F48" s="8" t="str">
        <f>+VLOOKUP(C48,'[1]CODE GENERATOR'!$D:$P,13,FALSE)</f>
        <v>H.PADFL_SPD0012_STN0006BRWGLD</v>
      </c>
    </row>
    <row r="49" spans="1:6" x14ac:dyDescent="0.25">
      <c r="A49" s="6" t="s">
        <v>49</v>
      </c>
      <c r="B49" s="7" t="s">
        <v>194</v>
      </c>
      <c r="C49" s="8" t="s">
        <v>197</v>
      </c>
      <c r="D49" s="9" t="str">
        <f>+VLOOKUP($C49,'[1]CODE GENERATOR'!$D:$J,6,FALSE)</f>
        <v>NAVY</v>
      </c>
      <c r="E49" s="9" t="str">
        <f>+VLOOKUP($C49,'[1]CODE GENERATOR'!$D:$J,7,FALSE)</f>
        <v>GOLD</v>
      </c>
      <c r="F49" s="8" t="str">
        <f>+VLOOKUP(C49,'[1]CODE GENERATOR'!$D:$P,13,FALSE)</f>
        <v>H.PADFL_SPD0012_TWL0007NAVGLD</v>
      </c>
    </row>
    <row r="50" spans="1:6" x14ac:dyDescent="0.25">
      <c r="A50" s="6" t="s">
        <v>49</v>
      </c>
      <c r="B50" s="7" t="s">
        <v>194</v>
      </c>
      <c r="C50" s="8" t="s">
        <v>198</v>
      </c>
      <c r="D50" s="9" t="str">
        <f>+VLOOKUP($C50,'[1]CODE GENERATOR'!$D:$J,6,FALSE)</f>
        <v>BLACK</v>
      </c>
      <c r="E50" s="9" t="str">
        <f>+VLOOKUP($C50,'[1]CODE GENERATOR'!$D:$J,7,FALSE)</f>
        <v>ROSE GOLD</v>
      </c>
      <c r="F50" s="8" t="str">
        <f>+VLOOKUP(C50,'[1]CODE GENERATOR'!$D:$P,13,FALSE)</f>
        <v>H.PADFL_SPD0012_STN0006BLKRGL</v>
      </c>
    </row>
    <row r="51" spans="1:6" x14ac:dyDescent="0.25">
      <c r="A51" s="6" t="s">
        <v>49</v>
      </c>
      <c r="B51" s="7" t="s">
        <v>194</v>
      </c>
      <c r="C51" s="8" t="s">
        <v>199</v>
      </c>
      <c r="D51" s="9" t="str">
        <f>+VLOOKUP($C51,'[1]CODE GENERATOR'!$D:$J,6,FALSE)</f>
        <v>DARK ORANGE</v>
      </c>
      <c r="E51" s="9" t="str">
        <f>+VLOOKUP($C51,'[1]CODE GENERATOR'!$D:$J,7,FALSE)</f>
        <v>DARK ORANGE</v>
      </c>
      <c r="F51" s="8" t="str">
        <f>+VLOOKUP(C51,'[1]CODE GENERATOR'!$D:$P,13,FALSE)</f>
        <v>H.PADFL_SPD0012_TWL0007DORDOR</v>
      </c>
    </row>
    <row r="52" spans="1:6" x14ac:dyDescent="0.25">
      <c r="A52" s="6" t="s">
        <v>49</v>
      </c>
      <c r="B52" s="7" t="s">
        <v>194</v>
      </c>
      <c r="C52" s="8" t="s">
        <v>200</v>
      </c>
      <c r="D52" s="9" t="str">
        <f>+VLOOKUP($C52,'[1]CODE GENERATOR'!$D:$J,6,FALSE)</f>
        <v>PANNA</v>
      </c>
      <c r="E52" s="9" t="str">
        <f>+VLOOKUP($C52,'[1]CODE GENERATOR'!$D:$J,7,FALSE)</f>
        <v>BROWN</v>
      </c>
      <c r="F52" s="8" t="str">
        <f>+VLOOKUP(C52,'[1]CODE GENERATOR'!$D:$P,13,FALSE)</f>
        <v>H.PADFL_SPD0012_TWL0007PANBRW</v>
      </c>
    </row>
    <row r="53" spans="1:6" x14ac:dyDescent="0.25">
      <c r="A53" s="6" t="s">
        <v>49</v>
      </c>
      <c r="B53" s="7" t="s">
        <v>194</v>
      </c>
      <c r="C53" s="8" t="s">
        <v>201</v>
      </c>
      <c r="D53" s="9" t="str">
        <f>+VLOOKUP($C53,'[1]CODE GENERATOR'!$D:$J,6,FALSE)</f>
        <v>BORDEAUX</v>
      </c>
      <c r="E53" s="9" t="str">
        <f>+VLOOKUP($C53,'[1]CODE GENERATOR'!$D:$J,7,FALSE)</f>
        <v>GOLD</v>
      </c>
      <c r="F53" s="8" t="str">
        <f>+VLOOKUP(C53,'[1]CODE GENERATOR'!$D:$P,13,FALSE)</f>
        <v>H.PADFL_SPD0012_STN0006BORGLD</v>
      </c>
    </row>
    <row r="54" spans="1:6" x14ac:dyDescent="0.25">
      <c r="A54" s="6" t="s">
        <v>50</v>
      </c>
      <c r="B54" s="7" t="s">
        <v>202</v>
      </c>
      <c r="C54" s="8" t="s">
        <v>203</v>
      </c>
      <c r="D54" s="9" t="str">
        <f>+VLOOKUP($C54,'[1]CODE GENERATOR'!$D:$J,6,FALSE)</f>
        <v>FUCHSIA</v>
      </c>
      <c r="E54" s="9" t="str">
        <f>+VLOOKUP($C54,'[1]CODE GENERATOR'!$D:$J,7,FALSE)</f>
        <v>BLACK</v>
      </c>
      <c r="F54" s="8" t="str">
        <f>+VLOOKUP(C54,'[1]CODE GENERATOR'!$D:$P,13,FALSE)</f>
        <v>H.PADPN_SPH0013_STN0008FCHBLK</v>
      </c>
    </row>
    <row r="55" spans="1:6" x14ac:dyDescent="0.25">
      <c r="A55" s="6" t="s">
        <v>50</v>
      </c>
      <c r="B55" s="7" t="s">
        <v>202</v>
      </c>
      <c r="C55" s="8" t="s">
        <v>204</v>
      </c>
      <c r="D55" s="9" t="str">
        <f>+VLOOKUP($C55,'[1]CODE GENERATOR'!$D:$J,6,FALSE)</f>
        <v>ELECTRIC BLUE</v>
      </c>
      <c r="E55" s="9" t="str">
        <f>+VLOOKUP($C55,'[1]CODE GENERATOR'!$D:$J,7,FALSE)</f>
        <v>ELECTRIC BLUE</v>
      </c>
      <c r="F55" s="8" t="str">
        <f>+VLOOKUP(C55,'[1]CODE GENERATOR'!$D:$P,13,FALSE)</f>
        <v>H.PADPN_SPH0013_STN0008ELBELB</v>
      </c>
    </row>
    <row r="56" spans="1:6" x14ac:dyDescent="0.25">
      <c r="A56" s="6" t="s">
        <v>50</v>
      </c>
      <c r="B56" s="7" t="s">
        <v>202</v>
      </c>
      <c r="C56" s="8" t="s">
        <v>205</v>
      </c>
      <c r="D56" s="9" t="str">
        <f>+VLOOKUP($C56,'[1]CODE GENERATOR'!$D:$J,6,FALSE)</f>
        <v>ORANGE</v>
      </c>
      <c r="E56" s="9" t="str">
        <f>+VLOOKUP($C56,'[1]CODE GENERATOR'!$D:$J,7,FALSE)</f>
        <v>ORANGE</v>
      </c>
      <c r="F56" s="8" t="str">
        <f>+VLOOKUP(C56,'[1]CODE GENERATOR'!$D:$P,13,FALSE)</f>
        <v>H.PADPN_SPH0013_STN0008ORGORG</v>
      </c>
    </row>
    <row r="57" spans="1:6" x14ac:dyDescent="0.25">
      <c r="A57" s="6" t="s">
        <v>50</v>
      </c>
      <c r="B57" s="7" t="s">
        <v>202</v>
      </c>
      <c r="C57" s="8" t="s">
        <v>206</v>
      </c>
      <c r="D57" s="9" t="str">
        <f>+VLOOKUP($C57,'[1]CODE GENERATOR'!$D:$J,6,FALSE)</f>
        <v>NAVY</v>
      </c>
      <c r="E57" s="9" t="str">
        <f>+VLOOKUP($C57,'[1]CODE GENERATOR'!$D:$J,7,FALSE)</f>
        <v>GOLD</v>
      </c>
      <c r="F57" s="8" t="str">
        <f>+VLOOKUP(C57,'[1]CODE GENERATOR'!$D:$P,13,FALSE)</f>
        <v>H.PADPN_SPH0013_STN0008NAVGLD</v>
      </c>
    </row>
    <row r="58" spans="1:6" x14ac:dyDescent="0.25">
      <c r="A58" s="6" t="s">
        <v>50</v>
      </c>
      <c r="B58" s="7" t="s">
        <v>202</v>
      </c>
      <c r="C58" s="8" t="s">
        <v>207</v>
      </c>
      <c r="D58" s="9" t="str">
        <f>+VLOOKUP($C58,'[1]CODE GENERATOR'!$D:$J,6,FALSE)</f>
        <v>BLACK</v>
      </c>
      <c r="E58" s="9" t="str">
        <f>+VLOOKUP($C58,'[1]CODE GENERATOR'!$D:$J,7,FALSE)</f>
        <v>GOLD</v>
      </c>
      <c r="F58" s="8" t="str">
        <f>+VLOOKUP(C58,'[1]CODE GENERATOR'!$D:$P,13,FALSE)</f>
        <v>H.PADPN_SPH0013_STN0008BLKGLD</v>
      </c>
    </row>
    <row r="59" spans="1:6" x14ac:dyDescent="0.25">
      <c r="A59" s="6" t="s">
        <v>50</v>
      </c>
      <c r="B59" s="7" t="s">
        <v>202</v>
      </c>
      <c r="C59" s="8" t="s">
        <v>208</v>
      </c>
      <c r="D59" s="9" t="str">
        <f>+VLOOKUP($C59,'[1]CODE GENERATOR'!$D:$J,6,FALSE)</f>
        <v>RED</v>
      </c>
      <c r="E59" s="9" t="str">
        <f>+VLOOKUP($C59,'[1]CODE GENERATOR'!$D:$J,7,FALSE)</f>
        <v>BLACK</v>
      </c>
      <c r="F59" s="8" t="str">
        <f>+VLOOKUP(C59,'[1]CODE GENERATOR'!$D:$P,13,FALSE)</f>
        <v>H.PADPN_SPH0013_STN0008REDBLK</v>
      </c>
    </row>
    <row r="60" spans="1:6" x14ac:dyDescent="0.25">
      <c r="A60" s="6" t="s">
        <v>51</v>
      </c>
      <c r="B60" s="7" t="s">
        <v>209</v>
      </c>
      <c r="C60" s="8" t="s">
        <v>210</v>
      </c>
      <c r="D60" s="9" t="str">
        <f>+VLOOKUP($C60,'[1]CODE GENERATOR'!$D:$J,6,FALSE)</f>
        <v>NAVY</v>
      </c>
      <c r="E60" s="9" t="str">
        <f>+VLOOKUP($C60,'[1]CODE GENERATOR'!$D:$J,7,FALSE)</f>
        <v>NAVY</v>
      </c>
      <c r="F60" s="8" t="str">
        <f>+VLOOKUP(C60,'[1]CODE GENERATOR'!$D:$P,13,FALSE)</f>
        <v>H.PADPN_SPD0014_STN0006NAVNAV</v>
      </c>
    </row>
    <row r="61" spans="1:6" x14ac:dyDescent="0.25">
      <c r="A61" s="6" t="s">
        <v>51</v>
      </c>
      <c r="B61" s="7" t="s">
        <v>209</v>
      </c>
      <c r="C61" s="8" t="s">
        <v>211</v>
      </c>
      <c r="D61" s="9" t="str">
        <f>+VLOOKUP($C61,'[1]CODE GENERATOR'!$D:$J,6,FALSE)</f>
        <v>WHITE</v>
      </c>
      <c r="E61" s="9" t="str">
        <f>+VLOOKUP($C61,'[1]CODE GENERATOR'!$D:$J,7,FALSE)</f>
        <v>WHITE</v>
      </c>
      <c r="F61" s="8" t="str">
        <f>+VLOOKUP(C61,'[1]CODE GENERATOR'!$D:$P,13,FALSE)</f>
        <v>H.PADPN_SPD0014_TWL0007WHTWHT</v>
      </c>
    </row>
    <row r="62" spans="1:6" x14ac:dyDescent="0.25">
      <c r="A62" s="6" t="s">
        <v>51</v>
      </c>
      <c r="B62" s="7" t="s">
        <v>209</v>
      </c>
      <c r="C62" s="8" t="s">
        <v>212</v>
      </c>
      <c r="D62" s="9" t="str">
        <f>+VLOOKUP($C62,'[1]CODE GENERATOR'!$D:$J,6,FALSE)</f>
        <v>BLACK</v>
      </c>
      <c r="E62" s="9" t="str">
        <f>+VLOOKUP($C62,'[1]CODE GENERATOR'!$D:$J,7,FALSE)</f>
        <v>GOLD</v>
      </c>
      <c r="F62" s="8" t="str">
        <f>+VLOOKUP(C62,'[1]CODE GENERATOR'!$D:$P,13,FALSE)</f>
        <v>H.PADPN_SPD0014_STN0006BLKGLD</v>
      </c>
    </row>
    <row r="63" spans="1:6" x14ac:dyDescent="0.25">
      <c r="A63" s="6" t="s">
        <v>52</v>
      </c>
      <c r="B63" s="7" t="s">
        <v>213</v>
      </c>
      <c r="C63" s="8" t="s">
        <v>214</v>
      </c>
      <c r="D63" s="9" t="str">
        <f>+VLOOKUP($C63,'[1]CODE GENERATOR'!$D:$J,6,FALSE)</f>
        <v>BORDEAUX</v>
      </c>
      <c r="E63" s="9" t="str">
        <f>+VLOOKUP($C63,'[1]CODE GENERATOR'!$D:$J,7,FALSE)</f>
        <v>BORDEAUX</v>
      </c>
      <c r="F63" s="8" t="str">
        <f>+VLOOKUP(C63,'[1]CODE GENERATOR'!$D:$P,13,FALSE)</f>
        <v>A.RACUX_BLT0015_BRD0012BORBOR</v>
      </c>
    </row>
    <row r="64" spans="1:6" x14ac:dyDescent="0.25">
      <c r="A64" s="6" t="s">
        <v>52</v>
      </c>
      <c r="B64" s="7" t="s">
        <v>213</v>
      </c>
      <c r="C64" s="8" t="s">
        <v>215</v>
      </c>
      <c r="D64" s="9" t="str">
        <f>+VLOOKUP($C64,'[1]CODE GENERATOR'!$D:$J,6,FALSE)</f>
        <v>BORDEAUX</v>
      </c>
      <c r="E64" s="9" t="str">
        <f>+VLOOKUP($C64,'[1]CODE GENERATOR'!$D:$J,7,FALSE)</f>
        <v>NAVY</v>
      </c>
      <c r="F64" s="8" t="str">
        <f>+VLOOKUP(C64,'[1]CODE GENERATOR'!$D:$P,13,FALSE)</f>
        <v>A.RACUX_BLT0015_BRD0012BORNAV</v>
      </c>
    </row>
    <row r="65" spans="1:6" x14ac:dyDescent="0.25">
      <c r="A65" s="6" t="s">
        <v>52</v>
      </c>
      <c r="B65" s="7" t="s">
        <v>213</v>
      </c>
      <c r="C65" s="8" t="s">
        <v>216</v>
      </c>
      <c r="D65" s="9" t="str">
        <f>+VLOOKUP($C65,'[1]CODE GENERATOR'!$D:$J,6,FALSE)</f>
        <v>BEIGE</v>
      </c>
      <c r="E65" s="9" t="str">
        <f>+VLOOKUP($C65,'[1]CODE GENERATOR'!$D:$J,7,FALSE)</f>
        <v>BROWN</v>
      </c>
      <c r="F65" s="8" t="str">
        <f>+VLOOKUP(C65,'[1]CODE GENERATOR'!$D:$P,13,FALSE)</f>
        <v>A.RACUX_BLT0015_BRD0012BEGBRW</v>
      </c>
    </row>
    <row r="66" spans="1:6" x14ac:dyDescent="0.25">
      <c r="A66" s="6" t="s">
        <v>52</v>
      </c>
      <c r="B66" s="7" t="s">
        <v>213</v>
      </c>
      <c r="C66" s="8" t="s">
        <v>217</v>
      </c>
      <c r="D66" s="9" t="str">
        <f>+VLOOKUP($C66,'[1]CODE GENERATOR'!$D:$J,6,FALSE)</f>
        <v>NAVY</v>
      </c>
      <c r="E66" s="9" t="str">
        <f>+VLOOKUP($C66,'[1]CODE GENERATOR'!$D:$J,7,FALSE)</f>
        <v>NAVY</v>
      </c>
      <c r="F66" s="8" t="str">
        <f>+VLOOKUP(C66,'[1]CODE GENERATOR'!$D:$P,13,FALSE)</f>
        <v>A.RACUX_BLT0015_BRD0012NAVNAV</v>
      </c>
    </row>
    <row r="67" spans="1:6" x14ac:dyDescent="0.25">
      <c r="A67" s="6" t="s">
        <v>52</v>
      </c>
      <c r="B67" s="7" t="s">
        <v>213</v>
      </c>
      <c r="C67" s="8" t="s">
        <v>218</v>
      </c>
      <c r="D67" s="9" t="str">
        <f>+VLOOKUP($C67,'[1]CODE GENERATOR'!$D:$J,6,FALSE)</f>
        <v>BEIGE</v>
      </c>
      <c r="E67" s="9" t="str">
        <f>+VLOOKUP($C67,'[1]CODE GENERATOR'!$D:$J,7,FALSE)</f>
        <v>BEIGE</v>
      </c>
      <c r="F67" s="8" t="str">
        <f>+VLOOKUP(C67,'[1]CODE GENERATOR'!$D:$P,13,FALSE)</f>
        <v>A.RACUX_BLT0015_BRD0012BEGBEG</v>
      </c>
    </row>
    <row r="68" spans="1:6" x14ac:dyDescent="0.25">
      <c r="A68" s="6" t="s">
        <v>52</v>
      </c>
      <c r="B68" s="7" t="s">
        <v>213</v>
      </c>
      <c r="C68" s="8" t="s">
        <v>219</v>
      </c>
      <c r="D68" s="9" t="str">
        <f>+VLOOKUP($C68,'[1]CODE GENERATOR'!$D:$J,6,FALSE)</f>
        <v>GRAY</v>
      </c>
      <c r="E68" s="9" t="str">
        <f>+VLOOKUP($C68,'[1]CODE GENERATOR'!$D:$J,7,FALSE)</f>
        <v>BLUE-BLACK</v>
      </c>
      <c r="F68" s="8" t="str">
        <f>+VLOOKUP(C68,'[1]CODE GENERATOR'!$D:$P,13,FALSE)</f>
        <v>A.RACUX_BLT0015_BRD0012GRYBBL</v>
      </c>
    </row>
    <row r="69" spans="1:6" x14ac:dyDescent="0.25">
      <c r="A69" s="6" t="s">
        <v>52</v>
      </c>
      <c r="B69" s="7" t="s">
        <v>213</v>
      </c>
      <c r="C69" s="8" t="s">
        <v>220</v>
      </c>
      <c r="D69" s="9" t="str">
        <f>+VLOOKUP($C69,'[1]CODE GENERATOR'!$D:$J,6,FALSE)</f>
        <v>BROWN</v>
      </c>
      <c r="E69" s="9" t="str">
        <f>+VLOOKUP($C69,'[1]CODE GENERATOR'!$D:$J,7,FALSE)</f>
        <v>NAVY</v>
      </c>
      <c r="F69" s="8" t="str">
        <f>+VLOOKUP(C69,'[1]CODE GENERATOR'!$D:$P,13,FALSE)</f>
        <v>A.RACUX_BLT0015_BRD0012BRWNAV</v>
      </c>
    </row>
    <row r="70" spans="1:6" x14ac:dyDescent="0.25">
      <c r="A70" s="6" t="s">
        <v>52</v>
      </c>
      <c r="B70" s="7" t="s">
        <v>213</v>
      </c>
      <c r="C70" s="8" t="s">
        <v>221</v>
      </c>
      <c r="D70" s="9" t="str">
        <f>+VLOOKUP($C70,'[1]CODE GENERATOR'!$D:$J,6,FALSE)</f>
        <v>DARK GRAY</v>
      </c>
      <c r="E70" s="9" t="str">
        <f>+VLOOKUP($C70,'[1]CODE GENERATOR'!$D:$J,7,FALSE)</f>
        <v>DARK GRAY</v>
      </c>
      <c r="F70" s="8" t="str">
        <f>+VLOOKUP(C70,'[1]CODE GENERATOR'!$D:$P,13,FALSE)</f>
        <v>A.RACUX_BLT0015_BRD0012DGYDGY</v>
      </c>
    </row>
    <row r="71" spans="1:6" x14ac:dyDescent="0.25">
      <c r="A71" s="6" t="s">
        <v>52</v>
      </c>
      <c r="B71" s="7" t="s">
        <v>213</v>
      </c>
      <c r="C71" s="8" t="s">
        <v>222</v>
      </c>
      <c r="D71" s="9" t="str">
        <f>+VLOOKUP($C71,'[1]CODE GENERATOR'!$D:$J,6,FALSE)</f>
        <v>MELANGE GRAY</v>
      </c>
      <c r="E71" s="9" t="str">
        <f>+VLOOKUP($C71,'[1]CODE GENERATOR'!$D:$J,7,FALSE)</f>
        <v>MELANGE GRAY</v>
      </c>
      <c r="F71" s="8" t="str">
        <f>+VLOOKUP(C71,'[1]CODE GENERATOR'!$D:$P,13,FALSE)</f>
        <v>A.RACUX_BLT0015_BRD0012MLGMLG</v>
      </c>
    </row>
    <row r="72" spans="1:6" x14ac:dyDescent="0.25">
      <c r="A72" s="6" t="s">
        <v>52</v>
      </c>
      <c r="B72" s="7" t="s">
        <v>213</v>
      </c>
      <c r="C72" s="8" t="s">
        <v>223</v>
      </c>
      <c r="D72" s="9" t="str">
        <f>+VLOOKUP($C72,'[1]CODE GENERATOR'!$D:$J,6,FALSE)</f>
        <v>MELANGE BLUE</v>
      </c>
      <c r="E72" s="9" t="str">
        <f>+VLOOKUP($C72,'[1]CODE GENERATOR'!$D:$J,7,FALSE)</f>
        <v>MELANGE BLUE</v>
      </c>
      <c r="F72" s="8" t="str">
        <f>+VLOOKUP(C72,'[1]CODE GENERATOR'!$D:$P,13,FALSE)</f>
        <v>A.RACUX_BLT0015_BRD0012MLBMLB</v>
      </c>
    </row>
    <row r="73" spans="1:6" x14ac:dyDescent="0.25">
      <c r="A73" s="6" t="s">
        <v>52</v>
      </c>
      <c r="B73" s="7" t="s">
        <v>213</v>
      </c>
      <c r="C73" s="8" t="s">
        <v>224</v>
      </c>
      <c r="D73" s="9" t="str">
        <f>+VLOOKUP($C73,'[1]CODE GENERATOR'!$D:$J,6,FALSE)</f>
        <v>LIGHT GRAY</v>
      </c>
      <c r="E73" s="9" t="str">
        <f>+VLOOKUP($C73,'[1]CODE GENERATOR'!$D:$J,7,FALSE)</f>
        <v>LIGHT GRAY</v>
      </c>
      <c r="F73" s="8" t="str">
        <f>+VLOOKUP(C73,'[1]CODE GENERATOR'!$D:$P,13,FALSE)</f>
        <v>A.RACUX_BLT0015_BRD0012LGYLGY</v>
      </c>
    </row>
    <row r="74" spans="1:6" x14ac:dyDescent="0.25">
      <c r="A74" s="6" t="s">
        <v>52</v>
      </c>
      <c r="B74" s="7" t="s">
        <v>213</v>
      </c>
      <c r="C74" s="11" t="s">
        <v>225</v>
      </c>
      <c r="D74" s="9" t="str">
        <f>+VLOOKUP($C74,'[1]CODE GENERATOR'!$D:$J,6,FALSE)</f>
        <v>WHITE</v>
      </c>
      <c r="E74" s="9" t="str">
        <f>+VLOOKUP($C74,'[1]CODE GENERATOR'!$D:$J,7,FALSE)</f>
        <v>WHITE</v>
      </c>
      <c r="F74" s="8" t="str">
        <f>+VLOOKUP(C74,'[1]CODE GENERATOR'!$D:$P,13,FALSE)</f>
        <v>A.RACUX_BLT0015_BRD0012WHTWHT</v>
      </c>
    </row>
    <row r="75" spans="1:6" x14ac:dyDescent="0.25">
      <c r="A75" s="6" t="s">
        <v>52</v>
      </c>
      <c r="B75" s="7" t="s">
        <v>213</v>
      </c>
      <c r="C75" s="11" t="s">
        <v>226</v>
      </c>
      <c r="D75" s="9" t="str">
        <f>+VLOOKUP($C75,'[1]CODE GENERATOR'!$D:$J,6,FALSE)</f>
        <v>RED</v>
      </c>
      <c r="E75" s="9" t="str">
        <f>+VLOOKUP($C75,'[1]CODE GENERATOR'!$D:$J,7,FALSE)</f>
        <v>RED</v>
      </c>
      <c r="F75" s="8" t="str">
        <f>+VLOOKUP(C75,'[1]CODE GENERATOR'!$D:$P,13,FALSE)</f>
        <v>A.RACUX_BLT0015_BRD0012REDRED</v>
      </c>
    </row>
    <row r="76" spans="1:6" x14ac:dyDescent="0.25">
      <c r="A76" s="6" t="s">
        <v>52</v>
      </c>
      <c r="B76" s="7" t="s">
        <v>213</v>
      </c>
      <c r="C76" s="11" t="s">
        <v>227</v>
      </c>
      <c r="D76" s="9" t="str">
        <f>+VLOOKUP($C76,'[1]CODE GENERATOR'!$D:$J,6,FALSE)</f>
        <v>BLACK</v>
      </c>
      <c r="E76" s="9" t="str">
        <f>+VLOOKUP($C76,'[1]CODE GENERATOR'!$D:$J,7,FALSE)</f>
        <v>BLACK</v>
      </c>
      <c r="F76" s="8" t="str">
        <f>+VLOOKUP(C76,'[1]CODE GENERATOR'!$D:$P,13,FALSE)</f>
        <v>A.RACUX_BLT0015_BRD0012BLKBLK</v>
      </c>
    </row>
    <row r="77" spans="1:6" x14ac:dyDescent="0.25">
      <c r="A77" s="6" t="s">
        <v>52</v>
      </c>
      <c r="B77" s="7" t="s">
        <v>213</v>
      </c>
      <c r="C77" s="11" t="s">
        <v>228</v>
      </c>
      <c r="D77" s="9" t="str">
        <f>+VLOOKUP($C77,'[1]CODE GENERATOR'!$D:$J,6,FALSE)</f>
        <v>GREEN</v>
      </c>
      <c r="E77" s="9" t="str">
        <f>+VLOOKUP($C77,'[1]CODE GENERATOR'!$D:$J,7,FALSE)</f>
        <v>GREEN</v>
      </c>
      <c r="F77" s="8" t="str">
        <f>+VLOOKUP(C77,'[1]CODE GENERATOR'!$D:$P,13,FALSE)</f>
        <v>A.RACUX_BLT0015_BRD0012GRNGRN</v>
      </c>
    </row>
    <row r="78" spans="1:6" x14ac:dyDescent="0.25">
      <c r="A78" s="6" t="s">
        <v>53</v>
      </c>
      <c r="B78" s="7" t="s">
        <v>229</v>
      </c>
      <c r="C78" s="11" t="s">
        <v>230</v>
      </c>
      <c r="D78" s="9" t="str">
        <f>+VLOOKUP($C78,'[1]CODE GENERATOR'!$D:$J,6,FALSE)</f>
        <v>WHITE</v>
      </c>
      <c r="E78" s="9" t="str">
        <f>+VLOOKUP($C78,'[1]CODE GENERATOR'!$D:$J,7,FALSE)</f>
        <v>WHITE</v>
      </c>
      <c r="F78" s="8" t="str">
        <f>+VLOOKUP(C78,'[1]CODE GENERATOR'!$D:$P,13,FALSE)</f>
        <v>A.RACMN_TIE0016_PES0000WHTWHT</v>
      </c>
    </row>
    <row r="79" spans="1:6" x14ac:dyDescent="0.25">
      <c r="A79" s="6" t="s">
        <v>54</v>
      </c>
      <c r="B79" s="7" t="s">
        <v>231</v>
      </c>
      <c r="C79" s="11" t="s">
        <v>232</v>
      </c>
      <c r="D79" s="9" t="str">
        <f>+VLOOKUP($C79,'[1]CODE GENERATOR'!$D:$J,6,FALSE)</f>
        <v>3 PACK BUNDLE</v>
      </c>
      <c r="E79" s="9" t="str">
        <f>+VLOOKUP($C79,'[1]CODE GENERATOR'!$D:$J,7,FALSE)</f>
        <v>SET #1</v>
      </c>
      <c r="F79" s="8" t="str">
        <f>+VLOOKUP(C79,'[1]CODE GENERATOR'!$D:$P,13,FALSE)</f>
        <v>A.RACKU_SOC0017_NYL00003XBST1</v>
      </c>
    </row>
    <row r="80" spans="1:6" x14ac:dyDescent="0.25">
      <c r="A80" s="6" t="s">
        <v>54</v>
      </c>
      <c r="B80" s="7" t="s">
        <v>231</v>
      </c>
      <c r="C80" s="11" t="s">
        <v>233</v>
      </c>
      <c r="D80" s="9" t="str">
        <f>+VLOOKUP($C80,'[1]CODE GENERATOR'!$D:$J,6,FALSE)</f>
        <v>3 PACK BUNDLE</v>
      </c>
      <c r="E80" s="9" t="str">
        <f>+VLOOKUP($C80,'[1]CODE GENERATOR'!$D:$J,7,FALSE)</f>
        <v>SET #2</v>
      </c>
      <c r="F80" s="8" t="str">
        <f>+VLOOKUP(C80,'[1]CODE GENERATOR'!$D:$P,13,FALSE)</f>
        <v>A.RACKU_SOC0017_NYL00003XBST2</v>
      </c>
    </row>
    <row r="81" spans="1:6" x14ac:dyDescent="0.25">
      <c r="A81" s="6" t="s">
        <v>55</v>
      </c>
      <c r="B81" s="7" t="s">
        <v>234</v>
      </c>
      <c r="C81" s="11" t="s">
        <v>235</v>
      </c>
      <c r="D81" s="9" t="str">
        <f>+VLOOKUP($C81,'[1]CODE GENERATOR'!$D:$J,6,FALSE)</f>
        <v>3 PACK BUNDLE</v>
      </c>
      <c r="E81" s="9" t="str">
        <f>+VLOOKUP($C81,'[1]CODE GENERATOR'!$D:$J,7,FALSE)</f>
        <v>SET #1</v>
      </c>
      <c r="F81" s="8" t="str">
        <f>+VLOOKUP(C81,'[1]CODE GENERATOR'!$D:$P,13,FALSE)</f>
        <v>A.RACAU_SOC0018_NYL00003XBST1</v>
      </c>
    </row>
    <row r="82" spans="1:6" x14ac:dyDescent="0.25">
      <c r="A82" s="6" t="s">
        <v>55</v>
      </c>
      <c r="B82" s="7" t="s">
        <v>234</v>
      </c>
      <c r="C82" s="11" t="s">
        <v>236</v>
      </c>
      <c r="D82" s="9" t="str">
        <f>+VLOOKUP($C82,'[1]CODE GENERATOR'!$D:$J,6,FALSE)</f>
        <v>3 PACK BUNDLE</v>
      </c>
      <c r="E82" s="9" t="str">
        <f>+VLOOKUP($C82,'[1]CODE GENERATOR'!$D:$J,7,FALSE)</f>
        <v>SET #2</v>
      </c>
      <c r="F82" s="8" t="str">
        <f>+VLOOKUP(C82,'[1]CODE GENERATOR'!$D:$P,13,FALSE)</f>
        <v>A.RACAU_SOC0018_NYL00003XBST2</v>
      </c>
    </row>
    <row r="83" spans="1:6" x14ac:dyDescent="0.25">
      <c r="A83" s="6" t="s">
        <v>55</v>
      </c>
      <c r="B83" s="7" t="s">
        <v>234</v>
      </c>
      <c r="C83" s="11" t="s">
        <v>237</v>
      </c>
      <c r="D83" s="9" t="str">
        <f>+VLOOKUP($C83,'[1]CODE GENERATOR'!$D:$J,6,FALSE)</f>
        <v>3 PACK BUNDLE</v>
      </c>
      <c r="E83" s="9" t="str">
        <f>+VLOOKUP($C83,'[1]CODE GENERATOR'!$D:$J,7,FALSE)</f>
        <v>SET #3</v>
      </c>
      <c r="F83" s="8" t="str">
        <f>+VLOOKUP(C83,'[1]CODE GENERATOR'!$D:$P,13,FALSE)</f>
        <v>A.RACAU_SOC0018_NYL00003XBST3</v>
      </c>
    </row>
    <row r="84" spans="1:6" x14ac:dyDescent="0.25">
      <c r="A84" s="6" t="s">
        <v>55</v>
      </c>
      <c r="B84" s="7" t="s">
        <v>234</v>
      </c>
      <c r="C84" s="11" t="s">
        <v>238</v>
      </c>
      <c r="D84" s="9" t="str">
        <f>+VLOOKUP($C84,'[1]CODE GENERATOR'!$D:$J,6,FALSE)</f>
        <v>3 PACK BUNDLE</v>
      </c>
      <c r="E84" s="9" t="str">
        <f>+VLOOKUP($C84,'[1]CODE GENERATOR'!$D:$J,7,FALSE)</f>
        <v>SET #4</v>
      </c>
      <c r="F84" s="8" t="str">
        <f>+VLOOKUP(C84,'[1]CODE GENERATOR'!$D:$P,13,FALSE)</f>
        <v>A.RACAU_SOC0018_NYL00003XBST4</v>
      </c>
    </row>
    <row r="85" spans="1:6" x14ac:dyDescent="0.25">
      <c r="A85" s="6" t="s">
        <v>55</v>
      </c>
      <c r="B85" s="7" t="s">
        <v>234</v>
      </c>
      <c r="C85" s="11" t="s">
        <v>239</v>
      </c>
      <c r="D85" s="9" t="str">
        <f>+VLOOKUP($C85,'[1]CODE GENERATOR'!$D:$J,6,FALSE)</f>
        <v>3 PACK BUNDLE</v>
      </c>
      <c r="E85" s="9" t="str">
        <f>+VLOOKUP($C85,'[1]CODE GENERATOR'!$D:$J,7,FALSE)</f>
        <v>SET #5</v>
      </c>
      <c r="F85" s="8" t="str">
        <f>+VLOOKUP(C85,'[1]CODE GENERATOR'!$D:$P,13,FALSE)</f>
        <v>A.RACAU_SOC0018_NYL00003XBST5</v>
      </c>
    </row>
    <row r="86" spans="1:6" x14ac:dyDescent="0.25">
      <c r="A86" s="6" t="s">
        <v>55</v>
      </c>
      <c r="B86" s="7" t="s">
        <v>234</v>
      </c>
      <c r="C86" s="11" t="s">
        <v>240</v>
      </c>
      <c r="D86" s="9" t="str">
        <f>+VLOOKUP($C86,'[1]CODE GENERATOR'!$D:$J,6,FALSE)</f>
        <v>3 PACK BUNDLE</v>
      </c>
      <c r="E86" s="9" t="str">
        <f>+VLOOKUP($C86,'[1]CODE GENERATOR'!$D:$J,7,FALSE)</f>
        <v>SET #6</v>
      </c>
      <c r="F86" s="8" t="str">
        <f>+VLOOKUP(C86,'[1]CODE GENERATOR'!$D:$P,13,FALSE)</f>
        <v>A.RACAU_SOC0018_NYL00003XBST6</v>
      </c>
    </row>
    <row r="87" spans="1:6" x14ac:dyDescent="0.25">
      <c r="A87" s="6" t="s">
        <v>56</v>
      </c>
      <c r="B87" s="7" t="s">
        <v>241</v>
      </c>
      <c r="C87" s="11" t="s">
        <v>242</v>
      </c>
      <c r="D87" s="9" t="str">
        <f>+VLOOKUP($C87,'[1]CODE GENERATOR'!$D:$J,6,FALSE)</f>
        <v>3 PACK BUNDLE</v>
      </c>
      <c r="E87" s="9" t="str">
        <f>+VLOOKUP($C87,'[1]CODE GENERATOR'!$D:$J,7,FALSE)</f>
        <v>SET #1</v>
      </c>
      <c r="F87" s="8" t="str">
        <f>+VLOOKUP(C87,'[1]CODE GENERATOR'!$D:$P,13,FALSE)</f>
        <v>A.RACAU_SOC0019_NYL00003XBST1</v>
      </c>
    </row>
    <row r="88" spans="1:6" x14ac:dyDescent="0.25">
      <c r="A88" s="6" t="s">
        <v>57</v>
      </c>
      <c r="B88" s="7" t="s">
        <v>243</v>
      </c>
      <c r="C88" s="11" t="s">
        <v>244</v>
      </c>
      <c r="D88" s="9" t="str">
        <f>+VLOOKUP($C88,'[1]CODE GENERATOR'!$D:$J,6,FALSE)</f>
        <v>3 PACK BUNDLE</v>
      </c>
      <c r="E88" s="9" t="str">
        <f>+VLOOKUP($C88,'[1]CODE GENERATOR'!$D:$J,7,FALSE)</f>
        <v>SET #1</v>
      </c>
      <c r="F88" s="8" t="str">
        <f>+VLOOKUP(C88,'[1]CODE GENERATOR'!$D:$P,13,FALSE)</f>
        <v>A.RACAU_SOC0020_NYL00003XBST1</v>
      </c>
    </row>
    <row r="89" spans="1:6" x14ac:dyDescent="0.25">
      <c r="A89" s="6" t="s">
        <v>58</v>
      </c>
      <c r="B89" s="7" t="s">
        <v>245</v>
      </c>
      <c r="C89" s="11" t="s">
        <v>246</v>
      </c>
      <c r="D89" s="9" t="str">
        <f>+VLOOKUP($C89,'[1]CODE GENERATOR'!$D:$J,6,FALSE)</f>
        <v>2 PACK BUNDLE</v>
      </c>
      <c r="E89" s="9" t="str">
        <f>+VLOOKUP($C89,'[1]CODE GENERATOR'!$D:$J,7,FALSE)</f>
        <v>SET #1</v>
      </c>
      <c r="F89" s="8" t="str">
        <f>+VLOOKUP(C89,'[1]CODE GENERATOR'!$D:$P,13,FALSE)</f>
        <v>A.RACAU_SOC0021_NYL00002XBST1</v>
      </c>
    </row>
    <row r="90" spans="1:6" x14ac:dyDescent="0.25">
      <c r="A90" s="12" t="s">
        <v>59</v>
      </c>
      <c r="B90" s="13" t="s">
        <v>60</v>
      </c>
      <c r="C90" s="11" t="s">
        <v>247</v>
      </c>
      <c r="D90" s="9" t="str">
        <f>+VLOOKUP($C90,'[1]CODE GENERATOR'!$D:$J,6,FALSE)</f>
        <v>NAVY</v>
      </c>
      <c r="E90" s="9" t="str">
        <f>+VLOOKUP($C90,'[1]CODE GENERATOR'!$D:$J,7,FALSE)</f>
        <v>PURPLE</v>
      </c>
      <c r="F90" s="8">
        <f>+VLOOKUP(C90,'[1]CODE GENERATOR'!$D:$P,13,FALSE)</f>
        <v>0</v>
      </c>
    </row>
    <row r="91" spans="1:6" x14ac:dyDescent="0.25">
      <c r="A91" s="12" t="s">
        <v>59</v>
      </c>
      <c r="B91" s="13" t="s">
        <v>60</v>
      </c>
      <c r="C91" s="11" t="s">
        <v>247</v>
      </c>
      <c r="D91" s="9" t="str">
        <f>+VLOOKUP($C91,'[1]CODE GENERATOR'!$D:$J,6,FALSE)</f>
        <v>NAVY</v>
      </c>
      <c r="E91" s="9" t="str">
        <f>+VLOOKUP($C91,'[1]CODE GENERATOR'!$D:$J,7,FALSE)</f>
        <v>PURPLE</v>
      </c>
      <c r="F91" s="8">
        <f>+VLOOKUP(C91,'[1]CODE GENERATOR'!$D:$P,13,FALSE)</f>
        <v>0</v>
      </c>
    </row>
    <row r="92" spans="1:6" x14ac:dyDescent="0.25">
      <c r="A92" s="12" t="s">
        <v>59</v>
      </c>
      <c r="B92" s="13" t="s">
        <v>60</v>
      </c>
      <c r="C92" s="11" t="s">
        <v>247</v>
      </c>
      <c r="D92" s="9" t="str">
        <f>+VLOOKUP($C92,'[1]CODE GENERATOR'!$D:$J,6,FALSE)</f>
        <v>NAVY</v>
      </c>
      <c r="E92" s="9" t="str">
        <f>+VLOOKUP($C92,'[1]CODE GENERATOR'!$D:$J,7,FALSE)</f>
        <v>PURPLE</v>
      </c>
      <c r="F92" s="8">
        <f>+VLOOKUP(C92,'[1]CODE GENERATOR'!$D:$P,13,FALSE)</f>
        <v>0</v>
      </c>
    </row>
    <row r="93" spans="1:6" x14ac:dyDescent="0.25">
      <c r="A93" s="14" t="s">
        <v>61</v>
      </c>
      <c r="B93" s="13" t="s">
        <v>60</v>
      </c>
      <c r="C93" s="11" t="s">
        <v>248</v>
      </c>
      <c r="D93" s="9" t="str">
        <f>+VLOOKUP($C93,'[1]CODE GENERATOR'!$D:$J,6,FALSE)</f>
        <v>NAVY</v>
      </c>
      <c r="E93" s="9" t="str">
        <f>+VLOOKUP($C93,'[1]CODE GENERATOR'!$D:$J,7,FALSE)</f>
        <v>RED</v>
      </c>
      <c r="F93" s="8">
        <f>+VLOOKUP(C93,'[1]CODE GENERATOR'!$D:$P,13,FALSE)</f>
        <v>0</v>
      </c>
    </row>
    <row r="94" spans="1:6" x14ac:dyDescent="0.25">
      <c r="A94" s="14" t="s">
        <v>61</v>
      </c>
      <c r="B94" s="13" t="s">
        <v>60</v>
      </c>
      <c r="C94" s="11" t="s">
        <v>248</v>
      </c>
      <c r="D94" s="9" t="str">
        <f>+VLOOKUP($C94,'[1]CODE GENERATOR'!$D:$J,6,FALSE)</f>
        <v>NAVY</v>
      </c>
      <c r="E94" s="9" t="str">
        <f>+VLOOKUP($C94,'[1]CODE GENERATOR'!$D:$J,7,FALSE)</f>
        <v>RED</v>
      </c>
      <c r="F94" s="8">
        <f>+VLOOKUP(C94,'[1]CODE GENERATOR'!$D:$P,13,FALSE)</f>
        <v>0</v>
      </c>
    </row>
    <row r="95" spans="1:6" x14ac:dyDescent="0.25">
      <c r="A95" s="14" t="s">
        <v>61</v>
      </c>
      <c r="B95" s="13" t="s">
        <v>60</v>
      </c>
      <c r="C95" s="11" t="s">
        <v>248</v>
      </c>
      <c r="D95" s="9" t="str">
        <f>+VLOOKUP($C95,'[1]CODE GENERATOR'!$D:$J,6,FALSE)</f>
        <v>NAVY</v>
      </c>
      <c r="E95" s="9" t="str">
        <f>+VLOOKUP($C95,'[1]CODE GENERATOR'!$D:$J,7,FALSE)</f>
        <v>RED</v>
      </c>
      <c r="F95" s="8">
        <f>+VLOOKUP(C95,'[1]CODE GENERATOR'!$D:$P,13,FALSE)</f>
        <v>0</v>
      </c>
    </row>
    <row r="96" spans="1:6" x14ac:dyDescent="0.25">
      <c r="A96" s="12" t="s">
        <v>62</v>
      </c>
      <c r="B96" s="13" t="s">
        <v>60</v>
      </c>
      <c r="C96" s="11" t="s">
        <v>249</v>
      </c>
      <c r="D96" s="9" t="str">
        <f>+VLOOKUP($C96,'[1]CODE GENERATOR'!$D:$J,6,FALSE)</f>
        <v>GRAY</v>
      </c>
      <c r="E96" s="9" t="str">
        <f>+VLOOKUP($C96,'[1]CODE GENERATOR'!$D:$J,7,FALSE)</f>
        <v>TURQUOISE</v>
      </c>
      <c r="F96" s="8">
        <f>+VLOOKUP(C96,'[1]CODE GENERATOR'!$D:$P,13,FALSE)</f>
        <v>0</v>
      </c>
    </row>
    <row r="97" spans="1:7" x14ac:dyDescent="0.25">
      <c r="A97" s="12" t="s">
        <v>62</v>
      </c>
      <c r="B97" s="13" t="s">
        <v>60</v>
      </c>
      <c r="C97" s="11" t="s">
        <v>249</v>
      </c>
      <c r="D97" s="9" t="str">
        <f>+VLOOKUP($C97,'[1]CODE GENERATOR'!$D:$J,6,FALSE)</f>
        <v>GRAY</v>
      </c>
      <c r="E97" s="9" t="str">
        <f>+VLOOKUP($C97,'[1]CODE GENERATOR'!$D:$J,7,FALSE)</f>
        <v>TURQUOISE</v>
      </c>
      <c r="F97" s="8">
        <f>+VLOOKUP(C97,'[1]CODE GENERATOR'!$D:$P,13,FALSE)</f>
        <v>0</v>
      </c>
    </row>
    <row r="98" spans="1:7" x14ac:dyDescent="0.25">
      <c r="A98" s="12" t="s">
        <v>62</v>
      </c>
      <c r="B98" s="13" t="s">
        <v>60</v>
      </c>
      <c r="C98" s="11" t="s">
        <v>249</v>
      </c>
      <c r="D98" s="9" t="str">
        <f>+VLOOKUP($C98,'[1]CODE GENERATOR'!$D:$J,6,FALSE)</f>
        <v>GRAY</v>
      </c>
      <c r="E98" s="9" t="str">
        <f>+VLOOKUP($C98,'[1]CODE GENERATOR'!$D:$J,7,FALSE)</f>
        <v>TURQUOISE</v>
      </c>
      <c r="F98" s="8">
        <f>+VLOOKUP(C98,'[1]CODE GENERATOR'!$D:$P,13,FALSE)</f>
        <v>0</v>
      </c>
    </row>
    <row r="99" spans="1:7" x14ac:dyDescent="0.25">
      <c r="A99" s="12" t="s">
        <v>63</v>
      </c>
      <c r="B99" s="13" t="s">
        <v>60</v>
      </c>
      <c r="C99" s="11" t="s">
        <v>250</v>
      </c>
      <c r="D99" s="9" t="str">
        <f>+VLOOKUP($C99,'[1]CODE GENERATOR'!$D:$J,6,FALSE)</f>
        <v>NAVY</v>
      </c>
      <c r="E99" s="9" t="str">
        <f>+VLOOKUP($C99,'[1]CODE GENERATOR'!$D:$J,7,FALSE)</f>
        <v>RED</v>
      </c>
      <c r="F99" s="8">
        <f>+VLOOKUP(C99,'[1]CODE GENERATOR'!$D:$P,13,FALSE)</f>
        <v>0</v>
      </c>
    </row>
    <row r="100" spans="1:7" x14ac:dyDescent="0.25">
      <c r="A100" s="12" t="s">
        <v>63</v>
      </c>
      <c r="B100" s="13" t="s">
        <v>60</v>
      </c>
      <c r="C100" s="11" t="s">
        <v>250</v>
      </c>
      <c r="D100" s="9" t="str">
        <f>+VLOOKUP($C100,'[1]CODE GENERATOR'!$D:$J,6,FALSE)</f>
        <v>NAVY</v>
      </c>
      <c r="E100" s="9" t="str">
        <f>+VLOOKUP($C100,'[1]CODE GENERATOR'!$D:$J,7,FALSE)</f>
        <v>RED</v>
      </c>
      <c r="F100" s="8">
        <f>+VLOOKUP(C100,'[1]CODE GENERATOR'!$D:$P,13,FALSE)</f>
        <v>0</v>
      </c>
    </row>
    <row r="101" spans="1:7" x14ac:dyDescent="0.25">
      <c r="A101" s="12" t="s">
        <v>63</v>
      </c>
      <c r="B101" s="13" t="s">
        <v>60</v>
      </c>
      <c r="C101" s="11" t="s">
        <v>250</v>
      </c>
      <c r="D101" s="9" t="str">
        <f>+VLOOKUP($C101,'[1]CODE GENERATOR'!$D:$J,6,FALSE)</f>
        <v>NAVY</v>
      </c>
      <c r="E101" s="9" t="str">
        <f>+VLOOKUP($C101,'[1]CODE GENERATOR'!$D:$J,7,FALSE)</f>
        <v>RED</v>
      </c>
      <c r="F101" s="8">
        <f>+VLOOKUP(C101,'[1]CODE GENERATOR'!$D:$P,13,FALSE)</f>
        <v>0</v>
      </c>
    </row>
    <row r="102" spans="1:7" x14ac:dyDescent="0.25">
      <c r="A102" s="12" t="s">
        <v>64</v>
      </c>
      <c r="B102" s="13" t="s">
        <v>60</v>
      </c>
      <c r="C102" s="11" t="s">
        <v>251</v>
      </c>
      <c r="D102" s="9" t="str">
        <f>+VLOOKUP($C102,'[1]CODE GENERATOR'!$D:$J,6,FALSE)</f>
        <v>NAVY</v>
      </c>
      <c r="E102" s="9" t="str">
        <f>+VLOOKUP($C102,'[1]CODE GENERATOR'!$D:$J,7,FALSE)</f>
        <v>RED</v>
      </c>
      <c r="F102" s="8">
        <f>+VLOOKUP(C102,'[1]CODE GENERATOR'!$D:$P,13,FALSE)</f>
        <v>0</v>
      </c>
    </row>
    <row r="103" spans="1:7" x14ac:dyDescent="0.25">
      <c r="A103" s="12" t="s">
        <v>64</v>
      </c>
      <c r="B103" s="13" t="s">
        <v>60</v>
      </c>
      <c r="C103" s="15" t="s">
        <v>251</v>
      </c>
      <c r="D103" s="9" t="str">
        <f>+VLOOKUP($C103,'[1]CODE GENERATOR'!$D:$J,6,FALSE)</f>
        <v>NAVY</v>
      </c>
      <c r="E103" s="9" t="str">
        <f>+VLOOKUP($C103,'[1]CODE GENERATOR'!$D:$J,7,FALSE)</f>
        <v>RED</v>
      </c>
      <c r="F103" s="8">
        <f>+VLOOKUP(C103,'[1]CODE GENERATOR'!$D:$P,13,FALSE)</f>
        <v>0</v>
      </c>
    </row>
    <row r="104" spans="1:7" x14ac:dyDescent="0.25">
      <c r="A104" s="6" t="s">
        <v>65</v>
      </c>
      <c r="B104" s="7" t="s">
        <v>252</v>
      </c>
      <c r="C104" s="15" t="s">
        <v>253</v>
      </c>
      <c r="D104" s="9" t="str">
        <f>+VLOOKUP($C104,'[1]CODE GENERATOR'!$D:$J,6,FALSE)</f>
        <v>DARK GRAY</v>
      </c>
      <c r="E104" s="9" t="str">
        <f>+VLOOKUP($C104,'[1]CODE GENERATOR'!$D:$J,7,FALSE)</f>
        <v>DARK GRAY</v>
      </c>
      <c r="F104" s="8" t="str">
        <f>+VLOOKUP(C104,'[1]CODE GENERATOR'!$D:$P,13,FALSE)</f>
        <v>A.HACUX_TAG0027_GRO0000DGYDGY</v>
      </c>
    </row>
    <row r="105" spans="1:7" x14ac:dyDescent="0.25">
      <c r="A105" s="6" t="s">
        <v>66</v>
      </c>
      <c r="B105" s="7" t="s">
        <v>254</v>
      </c>
      <c r="C105" s="15" t="s">
        <v>255</v>
      </c>
      <c r="D105" s="9" t="str">
        <f>+VLOOKUP($C105,'[1]CODE GENERATOR'!$D:$J,6,FALSE)</f>
        <v>BLACK</v>
      </c>
      <c r="E105" s="9" t="str">
        <f>+VLOOKUP($C105,'[1]CODE GENERATOR'!$D:$J,7,FALSE)</f>
        <v>BLACK</v>
      </c>
      <c r="F105" s="8" t="str">
        <f>+VLOOKUP(C105,'[1]CODE GENERATOR'!$D:$P,13,FALSE)</f>
        <v>A.RACNA_KYR0028_RIB0000BLKBLK</v>
      </c>
    </row>
    <row r="106" spans="1:7" x14ac:dyDescent="0.25">
      <c r="A106" s="6" t="s">
        <v>67</v>
      </c>
      <c r="B106" s="7" t="s">
        <v>256</v>
      </c>
      <c r="C106" s="15" t="s">
        <v>257</v>
      </c>
      <c r="D106" s="9" t="str">
        <f>+VLOOKUP($C106,'[1]CODE GENERATOR'!$D:$J,6,FALSE)</f>
        <v>BLACK</v>
      </c>
      <c r="E106" s="9" t="str">
        <f>+VLOOKUP($C106,'[1]CODE GENERATOR'!$D:$J,7,FALSE)</f>
        <v>BLACK</v>
      </c>
      <c r="F106" s="8" t="str">
        <f>+VLOOKUP(C106,'[1]CODE GENERATOR'!$D:$P,13,FALSE)</f>
        <v>A.RACAU_BEA0029_ACR0000BLKBLK</v>
      </c>
    </row>
    <row r="107" spans="1:7" x14ac:dyDescent="0.25">
      <c r="A107" s="6" t="s">
        <v>68</v>
      </c>
      <c r="B107" s="7" t="s">
        <v>258</v>
      </c>
      <c r="C107" s="16" t="s">
        <v>259</v>
      </c>
      <c r="D107" s="9" t="str">
        <f>+VLOOKUP($C107,'[1]CODE GENERATOR'!$D:$J,6,FALSE)</f>
        <v>BLACK</v>
      </c>
      <c r="E107" s="9" t="str">
        <f>+VLOOKUP($C107,'[1]CODE GENERATOR'!$D:$J,7,FALSE)</f>
        <v>BLACK</v>
      </c>
      <c r="F107" s="8" t="str">
        <f>+VLOOKUP(C107,'[1]CODE GENERATOR'!$D:$P,13,FALSE)</f>
        <v>A.RACAU_CAP0030_COT0000BLKBLK</v>
      </c>
    </row>
    <row r="108" spans="1:7" x14ac:dyDescent="0.25">
      <c r="A108" s="6" t="s">
        <v>68</v>
      </c>
      <c r="B108" s="7" t="s">
        <v>258</v>
      </c>
      <c r="C108" s="16" t="s">
        <v>260</v>
      </c>
      <c r="D108" s="9" t="str">
        <f>+VLOOKUP($C108,'[1]CODE GENERATOR'!$D:$J,6,FALSE)</f>
        <v>SAND</v>
      </c>
      <c r="E108" s="9" t="str">
        <f>+VLOOKUP($C108,'[1]CODE GENERATOR'!$D:$J,7,FALSE)</f>
        <v>SAND</v>
      </c>
      <c r="F108" s="8" t="str">
        <f>+VLOOKUP(C108,'[1]CODE GENERATOR'!$D:$P,13,FALSE)</f>
        <v>A.RACAU_CAP0030_COT0000SNDSND</v>
      </c>
    </row>
    <row r="109" spans="1:7" x14ac:dyDescent="0.25">
      <c r="A109" s="6" t="s">
        <v>69</v>
      </c>
      <c r="B109" s="7" t="s">
        <v>261</v>
      </c>
      <c r="C109" s="15" t="s">
        <v>262</v>
      </c>
      <c r="D109" s="9" t="str">
        <f>+VLOOKUP($C109,'[1]CODE GENERATOR'!$D:$J,6,FALSE)</f>
        <v>NAVY</v>
      </c>
      <c r="E109" s="9" t="str">
        <f>+VLOOKUP($C109,'[1]CODE GENERATOR'!$D:$J,7,FALSE)</f>
        <v>WHITE</v>
      </c>
      <c r="F109" s="8" t="str">
        <f>+VLOOKUP(C109,'[1]CODE GENERATOR'!$D:$P,13,FALSE)</f>
        <v>R.TOPMN_SPL0031_PIQ0013NAVWHT</v>
      </c>
      <c r="G109" s="1" t="s">
        <v>3</v>
      </c>
    </row>
    <row r="110" spans="1:7" x14ac:dyDescent="0.25">
      <c r="A110" s="6" t="s">
        <v>69</v>
      </c>
      <c r="B110" s="7" t="s">
        <v>261</v>
      </c>
      <c r="C110" s="15" t="s">
        <v>263</v>
      </c>
      <c r="D110" s="9" t="str">
        <f>+VLOOKUP($C110,'[1]CODE GENERATOR'!$D:$J,6,FALSE)</f>
        <v>BLACK</v>
      </c>
      <c r="E110" s="9" t="str">
        <f>+VLOOKUP($C110,'[1]CODE GENERATOR'!$D:$J,7,FALSE)</f>
        <v>WHITE</v>
      </c>
      <c r="F110" s="8" t="str">
        <f>+VLOOKUP(C110,'[1]CODE GENERATOR'!$D:$P,13,FALSE)</f>
        <v>R.TOPMN_SPL0031_PIQ0013BLKWHT</v>
      </c>
      <c r="G110" s="1" t="s">
        <v>3</v>
      </c>
    </row>
    <row r="111" spans="1:7" x14ac:dyDescent="0.25">
      <c r="A111" s="6" t="s">
        <v>69</v>
      </c>
      <c r="B111" s="7" t="s">
        <v>261</v>
      </c>
      <c r="C111" s="15" t="s">
        <v>264</v>
      </c>
      <c r="D111" s="9" t="str">
        <f>+VLOOKUP($C111,'[1]CODE GENERATOR'!$D:$J,6,FALSE)</f>
        <v>WHITE</v>
      </c>
      <c r="E111" s="9" t="str">
        <f>+VLOOKUP($C111,'[1]CODE GENERATOR'!$D:$J,7,FALSE)</f>
        <v>WHITE</v>
      </c>
      <c r="F111" s="8" t="str">
        <f>+VLOOKUP(C111,'[1]CODE GENERATOR'!$D:$P,13,FALSE)</f>
        <v>R.TOPMN_SPL0031_PIQ0013WHTWHT</v>
      </c>
      <c r="G111" s="1" t="s">
        <v>3</v>
      </c>
    </row>
    <row r="112" spans="1:7" x14ac:dyDescent="0.25">
      <c r="A112" s="6" t="s">
        <v>69</v>
      </c>
      <c r="B112" s="7" t="s">
        <v>261</v>
      </c>
      <c r="C112" s="15" t="s">
        <v>265</v>
      </c>
      <c r="D112" s="9" t="str">
        <f>+VLOOKUP($C112,'[1]CODE GENERATOR'!$D:$J,6,FALSE)</f>
        <v>BORDEAUX</v>
      </c>
      <c r="E112" s="9" t="str">
        <f>+VLOOKUP($C112,'[1]CODE GENERATOR'!$D:$J,7,FALSE)</f>
        <v>WHITE</v>
      </c>
      <c r="F112" s="8" t="str">
        <f>+VLOOKUP(C112,'[1]CODE GENERATOR'!$D:$P,13,FALSE)</f>
        <v>R.TOPMN_SPL0031_PIQ0013BORWHT</v>
      </c>
      <c r="G112" s="1" t="s">
        <v>3</v>
      </c>
    </row>
    <row r="113" spans="1:7" x14ac:dyDescent="0.25">
      <c r="A113" s="6" t="s">
        <v>70</v>
      </c>
      <c r="B113" s="7" t="s">
        <v>266</v>
      </c>
      <c r="C113" s="15" t="s">
        <v>267</v>
      </c>
      <c r="D113" s="9" t="str">
        <f>+VLOOKUP($C113,'[1]CODE GENERATOR'!$D:$J,6,FALSE)</f>
        <v>BORDEAUX</v>
      </c>
      <c r="E113" s="9" t="str">
        <f>+VLOOKUP($C113,'[1]CODE GENERATOR'!$D:$J,7,FALSE)</f>
        <v>BEIGE</v>
      </c>
      <c r="F113" s="8" t="str">
        <f>+VLOOKUP(C113,'[1]CODE GENERATOR'!$D:$P,13,FALSE)</f>
        <v>R.TOPWN_SPL0032_PIQ0013BORBEG</v>
      </c>
    </row>
    <row r="114" spans="1:7" x14ac:dyDescent="0.25">
      <c r="A114" s="6" t="s">
        <v>70</v>
      </c>
      <c r="B114" s="7" t="s">
        <v>266</v>
      </c>
      <c r="C114" s="15" t="s">
        <v>268</v>
      </c>
      <c r="D114" s="9" t="str">
        <f>+VLOOKUP($C114,'[1]CODE GENERATOR'!$D:$J,6,FALSE)</f>
        <v>NAVY</v>
      </c>
      <c r="E114" s="9" t="str">
        <f>+VLOOKUP($C114,'[1]CODE GENERATOR'!$D:$J,7,FALSE)</f>
        <v>BEIGE</v>
      </c>
      <c r="F114" s="8" t="str">
        <f>+VLOOKUP(C114,'[1]CODE GENERATOR'!$D:$P,13,FALSE)</f>
        <v>R.TOPWN_SPL0032_PIQ0013NAVBEG</v>
      </c>
    </row>
    <row r="115" spans="1:7" x14ac:dyDescent="0.25">
      <c r="A115" s="6" t="s">
        <v>71</v>
      </c>
      <c r="B115" s="7" t="s">
        <v>269</v>
      </c>
      <c r="C115" s="15" t="s">
        <v>270</v>
      </c>
      <c r="D115" s="9" t="str">
        <f>+VLOOKUP($C115,'[1]CODE GENERATOR'!$D:$J,6,FALSE)</f>
        <v>NAVY</v>
      </c>
      <c r="E115" s="9" t="str">
        <f>+VLOOKUP($C115,'[1]CODE GENERATOR'!$D:$J,7,FALSE)</f>
        <v>WHITE</v>
      </c>
      <c r="F115" s="8" t="str">
        <f>+VLOOKUP(C115,'[1]CODE GENERATOR'!$D:$P,13,FALSE)</f>
        <v>R.TOPKB_CPL0033_PIQ0013NAVWHT</v>
      </c>
    </row>
    <row r="116" spans="1:7" x14ac:dyDescent="0.25">
      <c r="A116" s="6" t="s">
        <v>72</v>
      </c>
      <c r="B116" s="7" t="s">
        <v>271</v>
      </c>
      <c r="C116" s="15" t="s">
        <v>272</v>
      </c>
      <c r="D116" s="9" t="str">
        <f>+VLOOKUP($C116,'[1]CODE GENERATOR'!$D:$J,6,FALSE)</f>
        <v>WHITE</v>
      </c>
      <c r="E116" s="9" t="str">
        <f>+VLOOKUP($C116,'[1]CODE GENERATOR'!$D:$J,7,FALSE)</f>
        <v>WHITE</v>
      </c>
      <c r="F116" s="8" t="str">
        <f>+VLOOKUP(C116,'[1]CODE GENERATOR'!$D:$P,13,FALSE)</f>
        <v>R.TOPKG_CPL0034_PIQ0014WHTWHT</v>
      </c>
    </row>
    <row r="117" spans="1:7" x14ac:dyDescent="0.25">
      <c r="A117" s="6" t="s">
        <v>72</v>
      </c>
      <c r="B117" s="7" t="s">
        <v>271</v>
      </c>
      <c r="C117" s="15" t="s">
        <v>273</v>
      </c>
      <c r="D117" s="9" t="str">
        <f>+VLOOKUP($C117,'[1]CODE GENERATOR'!$D:$J,6,FALSE)</f>
        <v>LILAC</v>
      </c>
      <c r="E117" s="9" t="str">
        <f>+VLOOKUP($C117,'[1]CODE GENERATOR'!$D:$J,7,FALSE)</f>
        <v>LILAC</v>
      </c>
      <c r="F117" s="8" t="str">
        <f>+VLOOKUP(C117,'[1]CODE GENERATOR'!$D:$P,13,FALSE)</f>
        <v>R.TOPKG_CPL0034_PIQ0014LILLIL</v>
      </c>
    </row>
    <row r="118" spans="1:7" x14ac:dyDescent="0.25">
      <c r="A118" s="6" t="s">
        <v>72</v>
      </c>
      <c r="B118" s="7" t="s">
        <v>271</v>
      </c>
      <c r="C118" s="15" t="s">
        <v>274</v>
      </c>
      <c r="D118" s="9" t="str">
        <f>+VLOOKUP($C118,'[1]CODE GENERATOR'!$D:$J,6,FALSE)</f>
        <v>PINK</v>
      </c>
      <c r="E118" s="9" t="str">
        <f>+VLOOKUP($C118,'[1]CODE GENERATOR'!$D:$J,7,FALSE)</f>
        <v>PINK</v>
      </c>
      <c r="F118" s="8" t="str">
        <f>+VLOOKUP(C118,'[1]CODE GENERATOR'!$D:$P,13,FALSE)</f>
        <v>R.TOPKG_CPL0034_PIQ0014PNKPNK</v>
      </c>
    </row>
    <row r="119" spans="1:7" x14ac:dyDescent="0.25">
      <c r="A119" s="6" t="s">
        <v>73</v>
      </c>
      <c r="B119" s="7" t="s">
        <v>275</v>
      </c>
      <c r="C119" s="15" t="s">
        <v>276</v>
      </c>
      <c r="D119" s="9" t="str">
        <f>+VLOOKUP($C119,'[1]CODE GENERATOR'!$D:$J,6,FALSE)</f>
        <v>WHITE</v>
      </c>
      <c r="E119" s="9" t="str">
        <f>+VLOOKUP($C119,'[1]CODE GENERATOR'!$D:$J,7,FALSE)</f>
        <v>WHITE</v>
      </c>
      <c r="F119" s="8" t="str">
        <f>+VLOOKUP(C119,'[1]CODE GENERATOR'!$D:$P,13,FALSE)</f>
        <v>R.TOPMN_CPL0035_PIQ0015WHTWHT</v>
      </c>
      <c r="G119" s="1" t="s">
        <v>503</v>
      </c>
    </row>
    <row r="120" spans="1:7" x14ac:dyDescent="0.25">
      <c r="A120" s="6" t="s">
        <v>73</v>
      </c>
      <c r="B120" s="7" t="s">
        <v>275</v>
      </c>
      <c r="C120" s="15" t="s">
        <v>277</v>
      </c>
      <c r="D120" s="9" t="str">
        <f>+VLOOKUP($C120,'[1]CODE GENERATOR'!$D:$J,6,FALSE)</f>
        <v>WHITE</v>
      </c>
      <c r="E120" s="9" t="str">
        <f>+VLOOKUP($C120,'[1]CODE GENERATOR'!$D:$J,7,FALSE)</f>
        <v>NAVY</v>
      </c>
      <c r="F120" s="8" t="str">
        <f>+VLOOKUP(C120,'[1]CODE GENERATOR'!$D:$P,13,FALSE)</f>
        <v>R.TOPMN_CPL0035_PIQ0015WHTNAV</v>
      </c>
      <c r="G120" s="1" t="s">
        <v>3</v>
      </c>
    </row>
    <row r="121" spans="1:7" x14ac:dyDescent="0.25">
      <c r="A121" s="6" t="s">
        <v>73</v>
      </c>
      <c r="B121" s="7" t="s">
        <v>275</v>
      </c>
      <c r="C121" s="15" t="s">
        <v>278</v>
      </c>
      <c r="D121" s="9" t="str">
        <f>+VLOOKUP($C121,'[1]CODE GENERATOR'!$D:$J,6,FALSE)</f>
        <v>NAVY</v>
      </c>
      <c r="E121" s="9" t="str">
        <f>+VLOOKUP($C121,'[1]CODE GENERATOR'!$D:$J,7,FALSE)</f>
        <v>WHITE</v>
      </c>
      <c r="F121" s="8" t="str">
        <f>+VLOOKUP(C121,'[1]CODE GENERATOR'!$D:$P,13,FALSE)</f>
        <v>R.TOPMN_CPL0035_PIQ0015NAVWHT</v>
      </c>
      <c r="G121" s="1" t="s">
        <v>3</v>
      </c>
    </row>
    <row r="122" spans="1:7" x14ac:dyDescent="0.25">
      <c r="A122" s="6" t="s">
        <v>74</v>
      </c>
      <c r="B122" s="7" t="s">
        <v>279</v>
      </c>
      <c r="C122" s="15" t="s">
        <v>280</v>
      </c>
      <c r="D122" s="9" t="str">
        <f>+VLOOKUP($C122,'[1]CODE GENERATOR'!$D:$J,6,FALSE)</f>
        <v>WHITE</v>
      </c>
      <c r="E122" s="9" t="str">
        <f>+VLOOKUP($C122,'[1]CODE GENERATOR'!$D:$J,7,FALSE)</f>
        <v>WHITE</v>
      </c>
      <c r="F122" s="8" t="str">
        <f>+VLOOKUP(C122,'[1]CODE GENERATOR'!$D:$P,13,FALSE)</f>
        <v>R.TOPWN_CPL0036_PIQ0015WHTWHT</v>
      </c>
      <c r="G122" s="1" t="s">
        <v>0</v>
      </c>
    </row>
    <row r="123" spans="1:7" x14ac:dyDescent="0.25">
      <c r="A123" s="6" t="s">
        <v>74</v>
      </c>
      <c r="B123" s="7" t="s">
        <v>279</v>
      </c>
      <c r="C123" s="15" t="s">
        <v>281</v>
      </c>
      <c r="D123" s="9" t="str">
        <f>+VLOOKUP($C123,'[1]CODE GENERATOR'!$D:$J,6,FALSE)</f>
        <v>WHITE</v>
      </c>
      <c r="E123" s="9" t="str">
        <f>+VLOOKUP($C123,'[1]CODE GENERATOR'!$D:$J,7,FALSE)</f>
        <v>NAVY</v>
      </c>
      <c r="F123" s="8" t="str">
        <f>+VLOOKUP(C123,'[1]CODE GENERATOR'!$D:$P,13,FALSE)</f>
        <v>R.TOPWN_CPL0036_PIQ0015WHTNAV</v>
      </c>
      <c r="G123" s="1" t="s">
        <v>503</v>
      </c>
    </row>
    <row r="124" spans="1:7" x14ac:dyDescent="0.25">
      <c r="A124" s="6" t="s">
        <v>74</v>
      </c>
      <c r="B124" s="7" t="s">
        <v>279</v>
      </c>
      <c r="C124" s="15" t="s">
        <v>282</v>
      </c>
      <c r="D124" s="9" t="str">
        <f>+VLOOKUP($C124,'[1]CODE GENERATOR'!$D:$J,6,FALSE)</f>
        <v>NAVY</v>
      </c>
      <c r="E124" s="9" t="str">
        <f>+VLOOKUP($C124,'[1]CODE GENERATOR'!$D:$J,7,FALSE)</f>
        <v>WHITE</v>
      </c>
      <c r="F124" s="8" t="str">
        <f>+VLOOKUP(C124,'[1]CODE GENERATOR'!$D:$P,13,FALSE)</f>
        <v>R.TOPWN_CPL0036_PIQ0015NAVWHT</v>
      </c>
      <c r="G124" s="1" t="s">
        <v>0</v>
      </c>
    </row>
    <row r="125" spans="1:7" x14ac:dyDescent="0.25">
      <c r="A125" s="6" t="s">
        <v>74</v>
      </c>
      <c r="B125" s="7" t="s">
        <v>279</v>
      </c>
      <c r="C125" s="15" t="s">
        <v>283</v>
      </c>
      <c r="D125" s="9" t="str">
        <f>+VLOOKUP($C125,'[1]CODE GENERATOR'!$D:$J,6,FALSE)</f>
        <v>BORDEAUX</v>
      </c>
      <c r="E125" s="9" t="str">
        <f>+VLOOKUP($C125,'[1]CODE GENERATOR'!$D:$J,7,FALSE)</f>
        <v>BORDEAUX</v>
      </c>
      <c r="F125" s="8" t="str">
        <f>+VLOOKUP(C125,'[1]CODE GENERATOR'!$D:$P,13,FALSE)</f>
        <v>R.TOPWN_CPL0036_SUP0017BORBOR</v>
      </c>
      <c r="G125" s="1" t="s">
        <v>0</v>
      </c>
    </row>
    <row r="126" spans="1:7" x14ac:dyDescent="0.25">
      <c r="A126" s="6" t="s">
        <v>75</v>
      </c>
      <c r="B126" s="7" t="s">
        <v>284</v>
      </c>
      <c r="C126" s="15" t="s">
        <v>285</v>
      </c>
      <c r="D126" s="9" t="str">
        <f>+VLOOKUP($C126,'[1]CODE GENERATOR'!$D:$J,6,FALSE)</f>
        <v>WHITE</v>
      </c>
      <c r="E126" s="9" t="str">
        <f>+VLOOKUP($C126,'[1]CODE GENERATOR'!$D:$J,7,FALSE)</f>
        <v>WHITE</v>
      </c>
      <c r="F126" s="8" t="str">
        <f>+VLOOKUP(C126,'[1]CODE GENERATOR'!$D:$P,13,FALSE)</f>
        <v>R.TOPKB_CPL0037_PIQ0015WHTWHT</v>
      </c>
      <c r="G126" s="1" t="s">
        <v>503</v>
      </c>
    </row>
    <row r="127" spans="1:7" x14ac:dyDescent="0.25">
      <c r="A127" s="6" t="s">
        <v>75</v>
      </c>
      <c r="B127" s="7" t="s">
        <v>284</v>
      </c>
      <c r="C127" s="15" t="s">
        <v>286</v>
      </c>
      <c r="D127" s="9" t="str">
        <f>+VLOOKUP($C127,'[1]CODE GENERATOR'!$D:$J,6,FALSE)</f>
        <v>WHITE</v>
      </c>
      <c r="E127" s="9" t="str">
        <f>+VLOOKUP($C127,'[1]CODE GENERATOR'!$D:$J,7,FALSE)</f>
        <v>NAVY</v>
      </c>
      <c r="F127" s="8" t="str">
        <f>+VLOOKUP(C127,'[1]CODE GENERATOR'!$D:$P,13,FALSE)</f>
        <v>R.TOPKB_CPL0037_PIQ0015WHTNAV</v>
      </c>
      <c r="G127" s="1" t="s">
        <v>503</v>
      </c>
    </row>
    <row r="128" spans="1:7" x14ac:dyDescent="0.25">
      <c r="A128" s="6" t="s">
        <v>75</v>
      </c>
      <c r="B128" s="7" t="s">
        <v>284</v>
      </c>
      <c r="C128" s="15" t="s">
        <v>287</v>
      </c>
      <c r="D128" s="9" t="str">
        <f>+VLOOKUP($C128,'[1]CODE GENERATOR'!$D:$J,6,FALSE)</f>
        <v>NAVY</v>
      </c>
      <c r="E128" s="9" t="str">
        <f>+VLOOKUP($C128,'[1]CODE GENERATOR'!$D:$J,7,FALSE)</f>
        <v>WHITE</v>
      </c>
      <c r="F128" s="8" t="str">
        <f>+VLOOKUP(C128,'[1]CODE GENERATOR'!$D:$P,13,FALSE)</f>
        <v>R.TOPKB_CPL0037_PIQ0015NAVWHT</v>
      </c>
      <c r="G128" s="1" t="s">
        <v>503</v>
      </c>
    </row>
    <row r="129" spans="1:7" x14ac:dyDescent="0.25">
      <c r="A129" s="6" t="s">
        <v>76</v>
      </c>
      <c r="B129" s="7" t="s">
        <v>288</v>
      </c>
      <c r="C129" s="15" t="s">
        <v>289</v>
      </c>
      <c r="D129" s="9" t="str">
        <f>+VLOOKUP($C129,'[1]CODE GENERATOR'!$D:$J,6,FALSE)</f>
        <v>WHITE</v>
      </c>
      <c r="E129" s="9" t="str">
        <f>+VLOOKUP($C129,'[1]CODE GENERATOR'!$D:$J,7,FALSE)</f>
        <v>WHITE</v>
      </c>
      <c r="F129" s="8" t="str">
        <f>+VLOOKUP(C129,'[1]CODE GENERATOR'!$D:$P,13,FALSE)</f>
        <v>R.TOPKG_CPL0038_PIQ0015WHTWHT</v>
      </c>
      <c r="G129" s="1" t="s">
        <v>503</v>
      </c>
    </row>
    <row r="130" spans="1:7" x14ac:dyDescent="0.25">
      <c r="A130" s="6" t="s">
        <v>76</v>
      </c>
      <c r="B130" s="7" t="s">
        <v>288</v>
      </c>
      <c r="C130" s="15" t="s">
        <v>290</v>
      </c>
      <c r="D130" s="9" t="str">
        <f>+VLOOKUP($C130,'[1]CODE GENERATOR'!$D:$J,6,FALSE)</f>
        <v>WHITE</v>
      </c>
      <c r="E130" s="9" t="str">
        <f>+VLOOKUP($C130,'[1]CODE GENERATOR'!$D:$J,7,FALSE)</f>
        <v>NAVY</v>
      </c>
      <c r="F130" s="8" t="str">
        <f>+VLOOKUP(C130,'[1]CODE GENERATOR'!$D:$P,13,FALSE)</f>
        <v>R.TOPKG_CPL0038_PIQ0015WHTNAV</v>
      </c>
      <c r="G130" s="1" t="s">
        <v>503</v>
      </c>
    </row>
    <row r="131" spans="1:7" x14ac:dyDescent="0.25">
      <c r="A131" s="6" t="s">
        <v>76</v>
      </c>
      <c r="B131" s="7" t="s">
        <v>288</v>
      </c>
      <c r="C131" s="15" t="s">
        <v>291</v>
      </c>
      <c r="D131" s="9" t="str">
        <f>+VLOOKUP($C131,'[1]CODE GENERATOR'!$D:$J,6,FALSE)</f>
        <v>NAVY</v>
      </c>
      <c r="E131" s="9" t="str">
        <f>+VLOOKUP($C131,'[1]CODE GENERATOR'!$D:$J,7,FALSE)</f>
        <v>WHITE</v>
      </c>
      <c r="F131" s="8" t="str">
        <f>+VLOOKUP(C131,'[1]CODE GENERATOR'!$D:$P,13,FALSE)</f>
        <v>R.TOPKG_CPL0038_PIQ0015NAVWHT</v>
      </c>
      <c r="G131" s="1" t="s">
        <v>503</v>
      </c>
    </row>
    <row r="132" spans="1:7" x14ac:dyDescent="0.25">
      <c r="A132" s="6" t="s">
        <v>76</v>
      </c>
      <c r="B132" s="7" t="s">
        <v>288</v>
      </c>
      <c r="C132" s="15" t="s">
        <v>292</v>
      </c>
      <c r="D132" s="9" t="str">
        <f>+VLOOKUP($C132,'[1]CODE GENERATOR'!$D:$J,6,FALSE)</f>
        <v>BORDEAUX</v>
      </c>
      <c r="E132" s="9" t="str">
        <f>+VLOOKUP($C132,'[1]CODE GENERATOR'!$D:$J,7,FALSE)</f>
        <v>BORDEAUX</v>
      </c>
      <c r="F132" s="8" t="str">
        <f>+VLOOKUP(C132,'[1]CODE GENERATOR'!$D:$P,13,FALSE)</f>
        <v>R.TOPKG_CPL0038_SUP0017BORBOR</v>
      </c>
      <c r="G132" s="1" t="s">
        <v>503</v>
      </c>
    </row>
    <row r="133" spans="1:7" x14ac:dyDescent="0.25">
      <c r="A133" s="6" t="s">
        <v>77</v>
      </c>
      <c r="B133" s="7" t="s">
        <v>293</v>
      </c>
      <c r="C133" s="15" t="s">
        <v>294</v>
      </c>
      <c r="D133" s="9" t="str">
        <f>+VLOOKUP($C133,'[1]CODE GENERATOR'!$D:$J,6,FALSE)</f>
        <v>WHITE</v>
      </c>
      <c r="E133" s="9" t="str">
        <f>+VLOOKUP($C133,'[1]CODE GENERATOR'!$D:$J,7,FALSE)</f>
        <v>WHITE</v>
      </c>
      <c r="F133" s="8" t="str">
        <f>+VLOOKUP(C133,'[1]CODE GENERATOR'!$D:$P,13,FALSE)</f>
        <v>R.TOPMN_CPL0039_PIQ0015WHTWHT</v>
      </c>
      <c r="G133" s="1" t="s">
        <v>3</v>
      </c>
    </row>
    <row r="134" spans="1:7" x14ac:dyDescent="0.25">
      <c r="A134" s="6" t="s">
        <v>77</v>
      </c>
      <c r="B134" s="7" t="s">
        <v>293</v>
      </c>
      <c r="C134" s="15" t="s">
        <v>295</v>
      </c>
      <c r="D134" s="9" t="str">
        <f>+VLOOKUP($C134,'[1]CODE GENERATOR'!$D:$J,6,FALSE)</f>
        <v>WHITE</v>
      </c>
      <c r="E134" s="9" t="str">
        <f>+VLOOKUP($C134,'[1]CODE GENERATOR'!$D:$J,7,FALSE)</f>
        <v>NAVY</v>
      </c>
      <c r="F134" s="8" t="str">
        <f>+VLOOKUP(C134,'[1]CODE GENERATOR'!$D:$P,13,FALSE)</f>
        <v>R.TOPMN_CPL0039_PIQ0015WHTNAV</v>
      </c>
      <c r="G134" s="1" t="s">
        <v>3</v>
      </c>
    </row>
    <row r="135" spans="1:7" x14ac:dyDescent="0.25">
      <c r="A135" s="6" t="s">
        <v>77</v>
      </c>
      <c r="B135" s="7" t="s">
        <v>293</v>
      </c>
      <c r="C135" s="15" t="s">
        <v>296</v>
      </c>
      <c r="D135" s="9" t="str">
        <f>+VLOOKUP($C135,'[1]CODE GENERATOR'!$D:$J,6,FALSE)</f>
        <v>NAVY</v>
      </c>
      <c r="E135" s="9" t="str">
        <f>+VLOOKUP($C135,'[1]CODE GENERATOR'!$D:$J,7,FALSE)</f>
        <v>WHITE</v>
      </c>
      <c r="F135" s="8" t="str">
        <f>+VLOOKUP(C135,'[1]CODE GENERATOR'!$D:$P,13,FALSE)</f>
        <v>R.TOPMN_CPL0039_PIQ0015NAVWHT</v>
      </c>
      <c r="G135" s="1" t="s">
        <v>3</v>
      </c>
    </row>
    <row r="136" spans="1:7" x14ac:dyDescent="0.25">
      <c r="A136" s="6" t="s">
        <v>78</v>
      </c>
      <c r="B136" s="7" t="s">
        <v>297</v>
      </c>
      <c r="C136" s="15" t="s">
        <v>298</v>
      </c>
      <c r="D136" s="9" t="str">
        <f>+VLOOKUP($C136,'[1]CODE GENERATOR'!$D:$J,6,FALSE)</f>
        <v>WHITE</v>
      </c>
      <c r="E136" s="9" t="str">
        <f>+VLOOKUP($C136,'[1]CODE GENERATOR'!$D:$J,7,FALSE)</f>
        <v>WHITE</v>
      </c>
      <c r="F136" s="8" t="str">
        <f>+VLOOKUP(C136,'[1]CODE GENERATOR'!$D:$P,13,FALSE)</f>
        <v>R.TOPWN_CPL0040_PIQ0015WHTWHT</v>
      </c>
      <c r="G136" s="1" t="s">
        <v>0</v>
      </c>
    </row>
    <row r="137" spans="1:7" x14ac:dyDescent="0.25">
      <c r="A137" s="6" t="s">
        <v>78</v>
      </c>
      <c r="B137" s="7" t="s">
        <v>297</v>
      </c>
      <c r="C137" s="15" t="s">
        <v>299</v>
      </c>
      <c r="D137" s="9" t="str">
        <f>+VLOOKUP($C137,'[1]CODE GENERATOR'!$D:$J,6,FALSE)</f>
        <v>WHITE</v>
      </c>
      <c r="E137" s="9" t="str">
        <f>+VLOOKUP($C137,'[1]CODE GENERATOR'!$D:$J,7,FALSE)</f>
        <v>NAVY</v>
      </c>
      <c r="F137" s="8" t="str">
        <f>+VLOOKUP(C137,'[1]CODE GENERATOR'!$D:$P,13,FALSE)</f>
        <v>R.TOPWN_CPL0040_PIQ0015WHTNAV</v>
      </c>
      <c r="G137" s="1" t="s">
        <v>0</v>
      </c>
    </row>
    <row r="138" spans="1:7" x14ac:dyDescent="0.25">
      <c r="A138" s="6" t="s">
        <v>78</v>
      </c>
      <c r="B138" s="7" t="s">
        <v>297</v>
      </c>
      <c r="C138" s="15" t="s">
        <v>300</v>
      </c>
      <c r="D138" s="9" t="str">
        <f>+VLOOKUP($C138,'[1]CODE GENERATOR'!$D:$J,6,FALSE)</f>
        <v>NAVY</v>
      </c>
      <c r="E138" s="9" t="str">
        <f>+VLOOKUP($C138,'[1]CODE GENERATOR'!$D:$J,7,FALSE)</f>
        <v>WHITE</v>
      </c>
      <c r="F138" s="8" t="str">
        <f>+VLOOKUP(C138,'[1]CODE GENERATOR'!$D:$P,13,FALSE)</f>
        <v>R.TOPWN_CPL0040_PIQ0015NAVWHT</v>
      </c>
      <c r="G138" s="1" t="s">
        <v>0</v>
      </c>
    </row>
    <row r="139" spans="1:7" x14ac:dyDescent="0.25">
      <c r="A139" s="6" t="s">
        <v>79</v>
      </c>
      <c r="B139" s="7" t="s">
        <v>301</v>
      </c>
      <c r="C139" s="15" t="s">
        <v>302</v>
      </c>
      <c r="D139" s="9" t="str">
        <f>+VLOOKUP($C139,'[1]CODE GENERATOR'!$D:$J,6,FALSE)</f>
        <v>WHITE</v>
      </c>
      <c r="E139" s="9" t="str">
        <f>+VLOOKUP($C139,'[1]CODE GENERATOR'!$D:$J,7,FALSE)</f>
        <v>WHITE</v>
      </c>
      <c r="F139" s="8" t="str">
        <f>+VLOOKUP(C139,'[1]CODE GENERATOR'!$D:$P,13,FALSE)</f>
        <v>R.TOPKB_CPL0041_PIQ0015WHTWHT</v>
      </c>
      <c r="G139" s="1" t="s">
        <v>503</v>
      </c>
    </row>
    <row r="140" spans="1:7" x14ac:dyDescent="0.25">
      <c r="A140" s="6" t="s">
        <v>79</v>
      </c>
      <c r="B140" s="7" t="s">
        <v>301</v>
      </c>
      <c r="C140" s="15" t="s">
        <v>303</v>
      </c>
      <c r="D140" s="9" t="str">
        <f>+VLOOKUP($C140,'[1]CODE GENERATOR'!$D:$J,6,FALSE)</f>
        <v>WHITE</v>
      </c>
      <c r="E140" s="9" t="str">
        <f>+VLOOKUP($C140,'[1]CODE GENERATOR'!$D:$J,7,FALSE)</f>
        <v>NAVY</v>
      </c>
      <c r="F140" s="8" t="str">
        <f>+VLOOKUP(C140,'[1]CODE GENERATOR'!$D:$P,13,FALSE)</f>
        <v>R.TOPKB_CPL0041_PIQ0015WHTNAV</v>
      </c>
      <c r="G140" s="1" t="s">
        <v>503</v>
      </c>
    </row>
    <row r="141" spans="1:7" x14ac:dyDescent="0.25">
      <c r="A141" s="6" t="s">
        <v>79</v>
      </c>
      <c r="B141" s="7" t="s">
        <v>301</v>
      </c>
      <c r="C141" s="15" t="s">
        <v>304</v>
      </c>
      <c r="D141" s="9" t="str">
        <f>+VLOOKUP($C141,'[1]CODE GENERATOR'!$D:$J,6,FALSE)</f>
        <v>NAVY</v>
      </c>
      <c r="E141" s="9" t="str">
        <f>+VLOOKUP($C141,'[1]CODE GENERATOR'!$D:$J,7,FALSE)</f>
        <v>WHITE</v>
      </c>
      <c r="F141" s="8" t="str">
        <f>+VLOOKUP(C141,'[1]CODE GENERATOR'!$D:$P,13,FALSE)</f>
        <v>R.TOPKB_CPL0041_PIQ0015NAVWHT</v>
      </c>
      <c r="G141" s="1" t="s">
        <v>503</v>
      </c>
    </row>
    <row r="142" spans="1:7" x14ac:dyDescent="0.25">
      <c r="A142" s="6" t="s">
        <v>80</v>
      </c>
      <c r="B142" s="7" t="s">
        <v>271</v>
      </c>
      <c r="C142" s="15" t="s">
        <v>305</v>
      </c>
      <c r="D142" s="9" t="str">
        <f>+VLOOKUP($C142,'[1]CODE GENERATOR'!$D:$J,6,FALSE)</f>
        <v>WHITE</v>
      </c>
      <c r="E142" s="9" t="str">
        <f>+VLOOKUP($C142,'[1]CODE GENERATOR'!$D:$J,7,FALSE)</f>
        <v>WHITE</v>
      </c>
      <c r="F142" s="8" t="str">
        <f>+VLOOKUP(C142,'[1]CODE GENERATOR'!$D:$P,13,FALSE)</f>
        <v>R.TOPKG_CPL0042_PIQ0015WHTWHT</v>
      </c>
      <c r="G142" s="1" t="s">
        <v>503</v>
      </c>
    </row>
    <row r="143" spans="1:7" x14ac:dyDescent="0.25">
      <c r="A143" s="6" t="s">
        <v>80</v>
      </c>
      <c r="B143" s="7" t="s">
        <v>271</v>
      </c>
      <c r="C143" s="15" t="s">
        <v>306</v>
      </c>
      <c r="D143" s="9" t="str">
        <f>+VLOOKUP($C143,'[1]CODE GENERATOR'!$D:$J,6,FALSE)</f>
        <v>WHITE</v>
      </c>
      <c r="E143" s="9" t="str">
        <f>+VLOOKUP($C143,'[1]CODE GENERATOR'!$D:$J,7,FALSE)</f>
        <v>NAVY</v>
      </c>
      <c r="F143" s="8" t="str">
        <f>+VLOOKUP(C143,'[1]CODE GENERATOR'!$D:$P,13,FALSE)</f>
        <v>R.TOPKG_CPL0042_PIQ0015WHTNAV</v>
      </c>
      <c r="G143" s="1" t="s">
        <v>503</v>
      </c>
    </row>
    <row r="144" spans="1:7" x14ac:dyDescent="0.25">
      <c r="A144" s="6" t="s">
        <v>80</v>
      </c>
      <c r="B144" s="7" t="s">
        <v>271</v>
      </c>
      <c r="C144" s="15" t="s">
        <v>307</v>
      </c>
      <c r="D144" s="9" t="str">
        <f>+VLOOKUP($C144,'[1]CODE GENERATOR'!$D:$J,6,FALSE)</f>
        <v>NAVY</v>
      </c>
      <c r="E144" s="9" t="str">
        <f>+VLOOKUP($C144,'[1]CODE GENERATOR'!$D:$J,7,FALSE)</f>
        <v>WHITE</v>
      </c>
      <c r="F144" s="8" t="str">
        <f>+VLOOKUP(C144,'[1]CODE GENERATOR'!$D:$P,13,FALSE)</f>
        <v>R.TOPKG_CPL0042_PIQ0015NAVWHT</v>
      </c>
      <c r="G144" s="1" t="s">
        <v>503</v>
      </c>
    </row>
    <row r="145" spans="1:7" x14ac:dyDescent="0.25">
      <c r="A145" s="6" t="s">
        <v>81</v>
      </c>
      <c r="B145" s="7" t="s">
        <v>275</v>
      </c>
      <c r="C145" s="15" t="s">
        <v>308</v>
      </c>
      <c r="D145" s="9" t="str">
        <f>+VLOOKUP($C145,'[1]CODE GENERATOR'!$D:$J,6,FALSE)</f>
        <v>WHITE</v>
      </c>
      <c r="E145" s="9" t="str">
        <f>+VLOOKUP($C145,'[1]CODE GENERATOR'!$D:$J,7,FALSE)</f>
        <v>NAVY</v>
      </c>
      <c r="F145" s="8" t="str">
        <f>+VLOOKUP(C145,'[1]CODE GENERATOR'!$D:$P,13,FALSE)</f>
        <v>R.TOPMN_CPL0043_PIQ0015WHTNAV</v>
      </c>
    </row>
    <row r="146" spans="1:7" x14ac:dyDescent="0.25">
      <c r="A146" s="6" t="s">
        <v>81</v>
      </c>
      <c r="B146" s="7" t="s">
        <v>275</v>
      </c>
      <c r="C146" s="15" t="s">
        <v>309</v>
      </c>
      <c r="D146" s="9" t="str">
        <f>+VLOOKUP($C146,'[1]CODE GENERATOR'!$D:$J,6,FALSE)</f>
        <v>NAVY</v>
      </c>
      <c r="E146" s="9" t="str">
        <f>+VLOOKUP($C146,'[1]CODE GENERATOR'!$D:$J,7,FALSE)</f>
        <v>WHITE</v>
      </c>
      <c r="F146" s="8" t="str">
        <f>+VLOOKUP(C146,'[1]CODE GENERATOR'!$D:$P,13,FALSE)</f>
        <v>R.TOPMN_CPL0043_PIQ0015NAVWHT</v>
      </c>
    </row>
    <row r="147" spans="1:7" x14ac:dyDescent="0.25">
      <c r="A147" s="6" t="s">
        <v>82</v>
      </c>
      <c r="B147" s="7" t="s">
        <v>293</v>
      </c>
      <c r="C147" s="15" t="s">
        <v>310</v>
      </c>
      <c r="D147" s="9" t="str">
        <f>+VLOOKUP($C147,'[1]CODE GENERATOR'!$D:$J,6,FALSE)</f>
        <v>WHITE</v>
      </c>
      <c r="E147" s="9" t="str">
        <f>+VLOOKUP($C147,'[1]CODE GENERATOR'!$D:$J,7,FALSE)</f>
        <v>NAVY</v>
      </c>
      <c r="F147" s="8" t="str">
        <f>+VLOOKUP(C147,'[1]CODE GENERATOR'!$D:$P,13,FALSE)</f>
        <v>R.TOPMN_CPL0044_PIQ0015WHTNAV</v>
      </c>
    </row>
    <row r="148" spans="1:7" x14ac:dyDescent="0.25">
      <c r="A148" s="6" t="s">
        <v>82</v>
      </c>
      <c r="B148" s="7" t="s">
        <v>293</v>
      </c>
      <c r="C148" s="15" t="s">
        <v>311</v>
      </c>
      <c r="D148" s="9" t="str">
        <f>+VLOOKUP($C148,'[1]CODE GENERATOR'!$D:$J,6,FALSE)</f>
        <v>NAVY</v>
      </c>
      <c r="E148" s="9" t="str">
        <f>+VLOOKUP($C148,'[1]CODE GENERATOR'!$D:$J,7,FALSE)</f>
        <v>WHITE</v>
      </c>
      <c r="F148" s="8" t="str">
        <f>+VLOOKUP(C148,'[1]CODE GENERATOR'!$D:$P,13,FALSE)</f>
        <v>R.TOPMN_CPL0044_PIQ0015NAVWHT</v>
      </c>
    </row>
    <row r="149" spans="1:7" x14ac:dyDescent="0.25">
      <c r="A149" s="6" t="s">
        <v>83</v>
      </c>
      <c r="B149" s="7" t="s">
        <v>284</v>
      </c>
      <c r="C149" s="15" t="s">
        <v>312</v>
      </c>
      <c r="D149" s="9" t="str">
        <f>+VLOOKUP($C149,'[1]CODE GENERATOR'!$D:$J,6,FALSE)</f>
        <v>WHITE</v>
      </c>
      <c r="E149" s="9" t="str">
        <f>+VLOOKUP($C149,'[1]CODE GENERATOR'!$D:$J,7,FALSE)</f>
        <v>NAVY</v>
      </c>
      <c r="F149" s="8" t="str">
        <f>+VLOOKUP(C149,'[1]CODE GENERATOR'!$D:$P,13,FALSE)</f>
        <v>R.TOPKB_CPL0045_PIQ0015WHTNAV</v>
      </c>
    </row>
    <row r="150" spans="1:7" x14ac:dyDescent="0.25">
      <c r="A150" s="6" t="s">
        <v>83</v>
      </c>
      <c r="B150" s="7" t="s">
        <v>284</v>
      </c>
      <c r="C150" s="15" t="s">
        <v>313</v>
      </c>
      <c r="D150" s="9" t="str">
        <f>+VLOOKUP($C150,'[1]CODE GENERATOR'!$D:$J,6,FALSE)</f>
        <v>NAVY</v>
      </c>
      <c r="E150" s="9" t="str">
        <f>+VLOOKUP($C150,'[1]CODE GENERATOR'!$D:$J,7,FALSE)</f>
        <v>WHITE</v>
      </c>
      <c r="F150" s="8" t="str">
        <f>+VLOOKUP(C150,'[1]CODE GENERATOR'!$D:$P,13,FALSE)</f>
        <v>R.TOPKB_CPL0045_PIQ0015NAVWHT</v>
      </c>
    </row>
    <row r="151" spans="1:7" x14ac:dyDescent="0.25">
      <c r="A151" s="6" t="s">
        <v>84</v>
      </c>
      <c r="B151" s="7" t="s">
        <v>301</v>
      </c>
      <c r="C151" s="15" t="s">
        <v>314</v>
      </c>
      <c r="D151" s="9" t="str">
        <f>+VLOOKUP($C151,'[1]CODE GENERATOR'!$D:$J,6,FALSE)</f>
        <v>WHITE</v>
      </c>
      <c r="E151" s="9" t="str">
        <f>+VLOOKUP($C151,'[1]CODE GENERATOR'!$D:$J,7,FALSE)</f>
        <v>NAVY</v>
      </c>
      <c r="F151" s="8" t="str">
        <f>+VLOOKUP(C151,'[1]CODE GENERATOR'!$D:$P,13,FALSE)</f>
        <v>R.TOPKB_CPL0046_PIQ0015WHTNAV</v>
      </c>
    </row>
    <row r="152" spans="1:7" x14ac:dyDescent="0.25">
      <c r="A152" s="6" t="s">
        <v>84</v>
      </c>
      <c r="B152" s="7" t="s">
        <v>301</v>
      </c>
      <c r="C152" s="15" t="s">
        <v>315</v>
      </c>
      <c r="D152" s="9" t="str">
        <f>+VLOOKUP($C152,'[1]CODE GENERATOR'!$D:$J,6,FALSE)</f>
        <v>NAVY</v>
      </c>
      <c r="E152" s="9" t="str">
        <f>+VLOOKUP($C152,'[1]CODE GENERATOR'!$D:$J,7,FALSE)</f>
        <v>WHITE</v>
      </c>
      <c r="F152" s="8" t="str">
        <f>+VLOOKUP(C152,'[1]CODE GENERATOR'!$D:$P,13,FALSE)</f>
        <v>R.TOPKB_CPL0046_PIQ0015NAVWHT</v>
      </c>
    </row>
    <row r="153" spans="1:7" x14ac:dyDescent="0.25">
      <c r="A153" s="6" t="s">
        <v>85</v>
      </c>
      <c r="B153" s="7" t="s">
        <v>316</v>
      </c>
      <c r="C153" s="15" t="s">
        <v>317</v>
      </c>
      <c r="D153" s="9" t="str">
        <f>+VLOOKUP($C153,'[1]CODE GENERATOR'!$D:$J,6,FALSE)</f>
        <v>MINK</v>
      </c>
      <c r="E153" s="9" t="str">
        <f>+VLOOKUP($C153,'[1]CODE GENERATOR'!$D:$J,7,FALSE)</f>
        <v>WHITE</v>
      </c>
      <c r="F153" s="8" t="str">
        <f>+VLOOKUP(C153,'[1]CODE GENERATOR'!$D:$P,13,FALSE)</f>
        <v>R.TOPWN_CPS0047_SUP0016MNKWHT</v>
      </c>
      <c r="G153" s="1" t="s">
        <v>0</v>
      </c>
    </row>
    <row r="154" spans="1:7" x14ac:dyDescent="0.25">
      <c r="A154" s="6" t="s">
        <v>86</v>
      </c>
      <c r="B154" s="7" t="s">
        <v>318</v>
      </c>
      <c r="C154" s="15" t="s">
        <v>319</v>
      </c>
      <c r="D154" s="9" t="str">
        <f>+VLOOKUP($C154,'[1]CODE GENERATOR'!$D:$J,6,FALSE)</f>
        <v>LILAC</v>
      </c>
      <c r="E154" s="9" t="str">
        <f>+VLOOKUP($C154,'[1]CODE GENERATOR'!$D:$J,7,FALSE)</f>
        <v>LILAC</v>
      </c>
      <c r="F154" s="8" t="str">
        <f>+VLOOKUP(C154,'[1]CODE GENERATOR'!$D:$P,13,FALSE)</f>
        <v>R.TOPWN_BLY0048_SUP0017LILLIL</v>
      </c>
      <c r="G154" s="1" t="s">
        <v>0</v>
      </c>
    </row>
    <row r="155" spans="1:7" x14ac:dyDescent="0.25">
      <c r="A155" s="6" t="s">
        <v>86</v>
      </c>
      <c r="B155" s="7" t="s">
        <v>318</v>
      </c>
      <c r="C155" s="15" t="s">
        <v>320</v>
      </c>
      <c r="D155" s="9" t="str">
        <f>+VLOOKUP($C155,'[1]CODE GENERATOR'!$D:$J,6,FALSE)</f>
        <v>NAVY</v>
      </c>
      <c r="E155" s="9" t="str">
        <f>+VLOOKUP($C155,'[1]CODE GENERATOR'!$D:$J,7,FALSE)</f>
        <v>NAVY</v>
      </c>
      <c r="F155" s="8" t="str">
        <f>+VLOOKUP(C155,'[1]CODE GENERATOR'!$D:$P,13,FALSE)</f>
        <v>R.TOPWN_BLY0048_SUP0017NAVNAV</v>
      </c>
      <c r="G155" s="1" t="s">
        <v>0</v>
      </c>
    </row>
    <row r="156" spans="1:7" x14ac:dyDescent="0.25">
      <c r="A156" s="6" t="s">
        <v>86</v>
      </c>
      <c r="B156" s="7" t="s">
        <v>318</v>
      </c>
      <c r="C156" s="15" t="s">
        <v>321</v>
      </c>
      <c r="D156" s="9" t="str">
        <f>+VLOOKUP($C156,'[1]CODE GENERATOR'!$D:$J,6,FALSE)</f>
        <v>BLACK</v>
      </c>
      <c r="E156" s="9" t="str">
        <f>+VLOOKUP($C156,'[1]CODE GENERATOR'!$D:$J,7,FALSE)</f>
        <v>BLACK</v>
      </c>
      <c r="F156" s="8" t="str">
        <f>+VLOOKUP(C156,'[1]CODE GENERATOR'!$D:$P,13,FALSE)</f>
        <v>R.TOPWN_BLY0048_SUP0017BLKBLK</v>
      </c>
      <c r="G156" s="1" t="s">
        <v>0</v>
      </c>
    </row>
    <row r="157" spans="1:7" x14ac:dyDescent="0.25">
      <c r="A157" s="6" t="s">
        <v>86</v>
      </c>
      <c r="B157" s="7" t="s">
        <v>318</v>
      </c>
      <c r="C157" s="15" t="s">
        <v>322</v>
      </c>
      <c r="D157" s="9" t="str">
        <f>+VLOOKUP($C157,'[1]CODE GENERATOR'!$D:$J,6,FALSE)</f>
        <v>BEIGE</v>
      </c>
      <c r="E157" s="9" t="str">
        <f>+VLOOKUP($C157,'[1]CODE GENERATOR'!$D:$J,7,FALSE)</f>
        <v>BEIGE</v>
      </c>
      <c r="F157" s="8" t="str">
        <f>+VLOOKUP(C157,'[1]CODE GENERATOR'!$D:$P,13,FALSE)</f>
        <v>R.TOPWN_BLY0048_SUP0017BEGBEG</v>
      </c>
      <c r="G157" s="1" t="s">
        <v>0</v>
      </c>
    </row>
    <row r="158" spans="1:7" x14ac:dyDescent="0.25">
      <c r="A158" s="6" t="s">
        <v>86</v>
      </c>
      <c r="B158" s="7" t="s">
        <v>318</v>
      </c>
      <c r="C158" s="15" t="s">
        <v>323</v>
      </c>
      <c r="D158" s="9" t="str">
        <f>+VLOOKUP($C158,'[1]CODE GENERATOR'!$D:$J,6,FALSE)</f>
        <v>BORDEAUX</v>
      </c>
      <c r="E158" s="9" t="str">
        <f>+VLOOKUP($C158,'[1]CODE GENERATOR'!$D:$J,7,FALSE)</f>
        <v>BORDEAUX</v>
      </c>
      <c r="F158" s="8" t="str">
        <f>+VLOOKUP(C158,'[1]CODE GENERATOR'!$D:$P,13,FALSE)</f>
        <v>R.TOPWN_BLY0048_SUP0017BORBOR</v>
      </c>
      <c r="G158" s="1" t="s">
        <v>0</v>
      </c>
    </row>
    <row r="159" spans="1:7" x14ac:dyDescent="0.25">
      <c r="A159" s="6" t="s">
        <v>86</v>
      </c>
      <c r="B159" s="7" t="s">
        <v>318</v>
      </c>
      <c r="C159" s="15" t="s">
        <v>324</v>
      </c>
      <c r="D159" s="9" t="str">
        <f>+VLOOKUP($C159,'[1]CODE GENERATOR'!$D:$J,6,FALSE)</f>
        <v>DARK GRAY</v>
      </c>
      <c r="E159" s="9" t="str">
        <f>+VLOOKUP($C159,'[1]CODE GENERATOR'!$D:$J,7,FALSE)</f>
        <v>DARK GRAY</v>
      </c>
      <c r="F159" s="8" t="str">
        <f>+VLOOKUP(C159,'[1]CODE GENERATOR'!$D:$P,13,FALSE)</f>
        <v>R.TOPWN_BLY0048_SUP0017DGYDGY</v>
      </c>
    </row>
    <row r="160" spans="1:7" x14ac:dyDescent="0.25">
      <c r="A160" s="6" t="s">
        <v>86</v>
      </c>
      <c r="B160" s="7" t="s">
        <v>318</v>
      </c>
      <c r="C160" s="15" t="s">
        <v>325</v>
      </c>
      <c r="D160" s="9" t="str">
        <f>+VLOOKUP($C160,'[1]CODE GENERATOR'!$D:$J,6,FALSE)</f>
        <v>GREEN</v>
      </c>
      <c r="E160" s="9" t="str">
        <f>+VLOOKUP($C160,'[1]CODE GENERATOR'!$D:$J,7,FALSE)</f>
        <v>GREEN</v>
      </c>
      <c r="F160" s="8" t="str">
        <f>+VLOOKUP(C160,'[1]CODE GENERATOR'!$D:$P,13,FALSE)</f>
        <v>R.TOPWN_BLY0048_SUP0017GRNGRN</v>
      </c>
      <c r="G160" s="1" t="s">
        <v>0</v>
      </c>
    </row>
    <row r="161" spans="1:7" x14ac:dyDescent="0.25">
      <c r="A161" s="6" t="s">
        <v>87</v>
      </c>
      <c r="B161" s="7" t="s">
        <v>326</v>
      </c>
      <c r="C161" s="15" t="s">
        <v>327</v>
      </c>
      <c r="D161" s="9" t="str">
        <f>+VLOOKUP($C161,'[1]CODE GENERATOR'!$D:$J,6,FALSE)</f>
        <v>LIGHT GRAY</v>
      </c>
      <c r="E161" s="9" t="str">
        <f>+VLOOKUP($C161,'[1]CODE GENERATOR'!$D:$J,7,FALSE)</f>
        <v>LIGHT GRAY</v>
      </c>
      <c r="F161" s="8" t="str">
        <f>+VLOOKUP(C161,'[1]CODE GENERATOR'!$D:$P,13,FALSE)</f>
        <v>R.TOPMN_BLY0049_SUP0018LGYLGY</v>
      </c>
      <c r="G161" s="1" t="s">
        <v>3</v>
      </c>
    </row>
    <row r="162" spans="1:7" x14ac:dyDescent="0.25">
      <c r="A162" s="6" t="s">
        <v>88</v>
      </c>
      <c r="B162" s="7" t="s">
        <v>328</v>
      </c>
      <c r="C162" s="15" t="s">
        <v>329</v>
      </c>
      <c r="D162" s="9" t="str">
        <f>+VLOOKUP($C162,'[1]CODE GENERATOR'!$D:$J,6,FALSE)</f>
        <v>BLACK</v>
      </c>
      <c r="E162" s="9" t="str">
        <f>+VLOOKUP($C162,'[1]CODE GENERATOR'!$D:$J,7,FALSE)</f>
        <v>BLACK</v>
      </c>
      <c r="F162" s="8" t="str">
        <f>+VLOOKUP(C162,'[1]CODE GENERATOR'!$D:$P,13,FALSE)</f>
        <v>R.TOPMN_BLY0050_SUP0019BLKBLK</v>
      </c>
      <c r="G162" s="1" t="s">
        <v>3</v>
      </c>
    </row>
    <row r="163" spans="1:7" x14ac:dyDescent="0.25">
      <c r="A163" s="6" t="s">
        <v>88</v>
      </c>
      <c r="B163" s="7" t="s">
        <v>328</v>
      </c>
      <c r="C163" s="15" t="s">
        <v>330</v>
      </c>
      <c r="D163" s="9" t="str">
        <f>+VLOOKUP($C163,'[1]CODE GENERATOR'!$D:$J,6,FALSE)</f>
        <v>NAVY</v>
      </c>
      <c r="E163" s="9" t="str">
        <f>+VLOOKUP($C163,'[1]CODE GENERATOR'!$D:$J,7,FALSE)</f>
        <v>NAVY</v>
      </c>
      <c r="F163" s="8" t="str">
        <f>+VLOOKUP(C163,'[1]CODE GENERATOR'!$D:$P,13,FALSE)</f>
        <v>R.TOPMN_BLY0050_SUP0020NAVNAV</v>
      </c>
      <c r="G163" s="1" t="s">
        <v>3</v>
      </c>
    </row>
    <row r="164" spans="1:7" x14ac:dyDescent="0.25">
      <c r="A164" s="6" t="s">
        <v>89</v>
      </c>
      <c r="B164" s="7" t="s">
        <v>328</v>
      </c>
      <c r="C164" s="15" t="s">
        <v>331</v>
      </c>
      <c r="D164" s="9" t="str">
        <f>+VLOOKUP($C164,'[1]CODE GENERATOR'!$D:$J,6,FALSE)</f>
        <v>NAVY</v>
      </c>
      <c r="E164" s="9" t="str">
        <f>+VLOOKUP($C164,'[1]CODE GENERATOR'!$D:$J,7,FALSE)</f>
        <v>BEIGE</v>
      </c>
      <c r="F164" s="8" t="str">
        <f>+VLOOKUP(C164,'[1]CODE GENERATOR'!$D:$P,13,FALSE)</f>
        <v>R.TOPMN_BLY0051_SUP0021NAVBEG</v>
      </c>
      <c r="G164" s="1" t="s">
        <v>3</v>
      </c>
    </row>
    <row r="165" spans="1:7" x14ac:dyDescent="0.25">
      <c r="A165" s="6" t="s">
        <v>89</v>
      </c>
      <c r="B165" s="7" t="s">
        <v>328</v>
      </c>
      <c r="C165" s="15" t="s">
        <v>332</v>
      </c>
      <c r="D165" s="9" t="str">
        <f>+VLOOKUP($C165,'[1]CODE GENERATOR'!$D:$J,6,FALSE)</f>
        <v>DARK GRAY</v>
      </c>
      <c r="E165" s="9" t="str">
        <f>+VLOOKUP($C165,'[1]CODE GENERATOR'!$D:$J,7,FALSE)</f>
        <v>LIGHT GRAY</v>
      </c>
      <c r="F165" s="8" t="str">
        <f>+VLOOKUP(C165,'[1]CODE GENERATOR'!$D:$P,13,FALSE)</f>
        <v>R.TOPMN_BLY0051_SUP0022DGYLGY</v>
      </c>
      <c r="G165" s="1" t="s">
        <v>3</v>
      </c>
    </row>
    <row r="166" spans="1:7" x14ac:dyDescent="0.25">
      <c r="A166" s="6" t="s">
        <v>505</v>
      </c>
      <c r="B166" s="7" t="s">
        <v>333</v>
      </c>
      <c r="C166" s="15" t="s">
        <v>506</v>
      </c>
      <c r="D166" s="9" t="str">
        <f>+VLOOKUP($C166,'[1]CODE GENERATOR'!$D:$J,6,FALSE)</f>
        <v>WHITE</v>
      </c>
      <c r="E166" s="9" t="str">
        <f>+VLOOKUP($C166,'[1]CODE GENERATOR'!$D:$J,7,FALSE)</f>
        <v>WHITE</v>
      </c>
      <c r="F166" s="8" t="str">
        <f>+VLOOKUP(C166,'[1]CODE GENERATOR'!$D:$P,13,FALSE)</f>
        <v>R.TOPMN_CPS0052_SUP0023WHTWHT</v>
      </c>
    </row>
    <row r="167" spans="1:7" x14ac:dyDescent="0.25">
      <c r="A167" s="6" t="s">
        <v>90</v>
      </c>
      <c r="B167" s="7" t="s">
        <v>334</v>
      </c>
      <c r="C167" s="15" t="s">
        <v>335</v>
      </c>
      <c r="D167" s="9" t="str">
        <f>+VLOOKUP($C167,'[1]CODE GENERATOR'!$D:$J,6,FALSE)</f>
        <v>WHITE</v>
      </c>
      <c r="E167" s="9" t="str">
        <f>+VLOOKUP($C167,'[1]CODE GENERATOR'!$D:$J,7,FALSE)</f>
        <v>WHITE</v>
      </c>
      <c r="F167" s="8" t="str">
        <f>+VLOOKUP(C167,'[1]CODE GENERATOR'!$D:$P,13,FALSE)</f>
        <v>R.TOPMN_CPS0053_PIQ0015WHTWHT</v>
      </c>
    </row>
    <row r="168" spans="1:7" x14ac:dyDescent="0.25">
      <c r="A168" s="6" t="s">
        <v>90</v>
      </c>
      <c r="B168" s="7" t="s">
        <v>334</v>
      </c>
      <c r="C168" s="15" t="s">
        <v>336</v>
      </c>
      <c r="D168" s="9" t="str">
        <f>+VLOOKUP($C168,'[1]CODE GENERATOR'!$D:$J,6,FALSE)</f>
        <v>NAVY</v>
      </c>
      <c r="E168" s="9" t="str">
        <f>+VLOOKUP($C168,'[1]CODE GENERATOR'!$D:$J,7,FALSE)</f>
        <v>WHITE</v>
      </c>
      <c r="F168" s="8" t="str">
        <f>+VLOOKUP(C168,'[1]CODE GENERATOR'!$D:$P,13,FALSE)</f>
        <v>R.TOPMN_CPS0053_PIQ0015NAVWHT</v>
      </c>
    </row>
    <row r="169" spans="1:7" x14ac:dyDescent="0.25">
      <c r="A169" s="6" t="s">
        <v>91</v>
      </c>
      <c r="B169" s="7" t="s">
        <v>337</v>
      </c>
      <c r="C169" s="15" t="s">
        <v>338</v>
      </c>
      <c r="D169" s="9" t="str">
        <f>+VLOOKUP($C169,'[1]CODE GENERATOR'!$D:$J,6,FALSE)</f>
        <v>NAVY</v>
      </c>
      <c r="E169" s="9" t="str">
        <f>+VLOOKUP($C169,'[1]CODE GENERATOR'!$D:$J,7,FALSE)</f>
        <v>WHITE</v>
      </c>
      <c r="F169" s="8" t="str">
        <f>+VLOOKUP(C169,'[1]CODE GENERATOR'!$D:$P,13,FALSE)</f>
        <v>H.FLYFL_EAR0054_KNT0000NAVWHT</v>
      </c>
    </row>
    <row r="170" spans="1:7" x14ac:dyDescent="0.25">
      <c r="A170" s="6" t="s">
        <v>91</v>
      </c>
      <c r="B170" s="7" t="s">
        <v>337</v>
      </c>
      <c r="C170" s="15" t="s">
        <v>339</v>
      </c>
      <c r="D170" s="9" t="str">
        <f>+VLOOKUP($C170,'[1]CODE GENERATOR'!$D:$J,6,FALSE)</f>
        <v>BLACK</v>
      </c>
      <c r="E170" s="9" t="str">
        <f>+VLOOKUP($C170,'[1]CODE GENERATOR'!$D:$J,7,FALSE)</f>
        <v>RED</v>
      </c>
      <c r="F170" s="8" t="str">
        <f>+VLOOKUP(C170,'[1]CODE GENERATOR'!$D:$P,13,FALSE)</f>
        <v>H.FLYFL_EAR0054_KNT0000BLKRED</v>
      </c>
    </row>
    <row r="171" spans="1:7" x14ac:dyDescent="0.25">
      <c r="A171" s="6" t="s">
        <v>91</v>
      </c>
      <c r="B171" s="7" t="s">
        <v>337</v>
      </c>
      <c r="C171" s="15" t="s">
        <v>340</v>
      </c>
      <c r="D171" s="9" t="str">
        <f>+VLOOKUP($C171,'[1]CODE GENERATOR'!$D:$J,6,FALSE)</f>
        <v>BORDEAUX</v>
      </c>
      <c r="E171" s="9" t="str">
        <f>+VLOOKUP($C171,'[1]CODE GENERATOR'!$D:$J,7,FALSE)</f>
        <v>GOLD</v>
      </c>
      <c r="F171" s="8" t="str">
        <f>+VLOOKUP(C171,'[1]CODE GENERATOR'!$D:$P,13,FALSE)</f>
        <v>H.FLYFL_EAR0054_KNT0000BORGLD</v>
      </c>
    </row>
    <row r="172" spans="1:7" x14ac:dyDescent="0.25">
      <c r="A172" s="6" t="s">
        <v>91</v>
      </c>
      <c r="B172" s="7" t="s">
        <v>337</v>
      </c>
      <c r="C172" s="15" t="s">
        <v>341</v>
      </c>
      <c r="D172" s="9" t="str">
        <f>+VLOOKUP($C172,'[1]CODE GENERATOR'!$D:$J,6,FALSE)</f>
        <v>BROWN</v>
      </c>
      <c r="E172" s="9" t="str">
        <f>+VLOOKUP($C172,'[1]CODE GENERATOR'!$D:$J,7,FALSE)</f>
        <v>GOLD</v>
      </c>
      <c r="F172" s="8" t="str">
        <f>+VLOOKUP(C172,'[1]CODE GENERATOR'!$D:$P,13,FALSE)</f>
        <v>H.FLYFL_EAR0054_KNT0000BRWGLD</v>
      </c>
    </row>
    <row r="173" spans="1:7" x14ac:dyDescent="0.25">
      <c r="A173" s="6" t="s">
        <v>91</v>
      </c>
      <c r="B173" s="7" t="s">
        <v>337</v>
      </c>
      <c r="C173" s="15" t="s">
        <v>342</v>
      </c>
      <c r="D173" s="9" t="str">
        <f>+VLOOKUP($C173,'[1]CODE GENERATOR'!$D:$J,6,FALSE)</f>
        <v>GREEN</v>
      </c>
      <c r="E173" s="9" t="str">
        <f>+VLOOKUP($C173,'[1]CODE GENERATOR'!$D:$J,7,FALSE)</f>
        <v>GOLD</v>
      </c>
      <c r="F173" s="8" t="str">
        <f>+VLOOKUP(C173,'[1]CODE GENERATOR'!$D:$P,13,FALSE)</f>
        <v>H.FLYFL_EAR0054_KNT0000GRNGLD</v>
      </c>
    </row>
    <row r="174" spans="1:7" x14ac:dyDescent="0.25">
      <c r="A174" s="6" t="s">
        <v>91</v>
      </c>
      <c r="B174" s="7" t="s">
        <v>337</v>
      </c>
      <c r="C174" s="15" t="s">
        <v>343</v>
      </c>
      <c r="D174" s="9" t="str">
        <f>+VLOOKUP($C174,'[1]CODE GENERATOR'!$D:$J,6,FALSE)</f>
        <v>NAVY</v>
      </c>
      <c r="E174" s="9" t="str">
        <f>+VLOOKUP($C174,'[1]CODE GENERATOR'!$D:$J,7,FALSE)</f>
        <v>GOLD</v>
      </c>
      <c r="F174" s="8" t="str">
        <f>+VLOOKUP(C174,'[1]CODE GENERATOR'!$D:$P,13,FALSE)</f>
        <v>H.FLYFL_EAR0054_KNT0000NAVGLD</v>
      </c>
    </row>
    <row r="175" spans="1:7" x14ac:dyDescent="0.25">
      <c r="A175" s="6" t="s">
        <v>91</v>
      </c>
      <c r="B175" s="7" t="s">
        <v>337</v>
      </c>
      <c r="C175" s="15" t="s">
        <v>344</v>
      </c>
      <c r="D175" s="9" t="str">
        <f>+VLOOKUP($C175,'[1]CODE GENERATOR'!$D:$J,6,FALSE)</f>
        <v>BLACK</v>
      </c>
      <c r="E175" s="9" t="str">
        <f>+VLOOKUP($C175,'[1]CODE GENERATOR'!$D:$J,7,FALSE)</f>
        <v>WHITE</v>
      </c>
      <c r="F175" s="8" t="str">
        <f>+VLOOKUP(C175,'[1]CODE GENERATOR'!$D:$P,13,FALSE)</f>
        <v>H.FLYFL_EAR0054_KNT0000BLKWHT</v>
      </c>
    </row>
    <row r="176" spans="1:7" x14ac:dyDescent="0.25">
      <c r="A176" s="6" t="s">
        <v>92</v>
      </c>
      <c r="B176" s="7" t="s">
        <v>337</v>
      </c>
      <c r="C176" s="15" t="s">
        <v>345</v>
      </c>
      <c r="D176" s="9" t="str">
        <f>+VLOOKUP($C176,'[1]CODE GENERATOR'!$D:$J,6,FALSE)</f>
        <v>BORDEAUX</v>
      </c>
      <c r="E176" s="9" t="str">
        <f>+VLOOKUP($C176,'[1]CODE GENERATOR'!$D:$J,7,FALSE)</f>
        <v>GOLD</v>
      </c>
      <c r="F176" s="8" t="str">
        <f>+VLOOKUP(C176,'[1]CODE GENERATOR'!$D:$P,13,FALSE)</f>
        <v>H.FLYPN_EAR0055_KNT0000BORGLD</v>
      </c>
    </row>
    <row r="177" spans="1:7" x14ac:dyDescent="0.25">
      <c r="A177" s="6" t="s">
        <v>92</v>
      </c>
      <c r="B177" s="7" t="s">
        <v>337</v>
      </c>
      <c r="C177" s="15" t="s">
        <v>346</v>
      </c>
      <c r="D177" s="9" t="str">
        <f>+VLOOKUP($C177,'[1]CODE GENERATOR'!$D:$J,6,FALSE)</f>
        <v>BROWN</v>
      </c>
      <c r="E177" s="9" t="str">
        <f>+VLOOKUP($C177,'[1]CODE GENERATOR'!$D:$J,7,FALSE)</f>
        <v>GOLD</v>
      </c>
      <c r="F177" s="8" t="str">
        <f>+VLOOKUP(C177,'[1]CODE GENERATOR'!$D:$P,13,FALSE)</f>
        <v>H.FLYPN_EAR0055_KNT0000BRWGLD</v>
      </c>
    </row>
    <row r="178" spans="1:7" x14ac:dyDescent="0.25">
      <c r="A178" s="6" t="s">
        <v>92</v>
      </c>
      <c r="B178" s="7" t="s">
        <v>337</v>
      </c>
      <c r="C178" s="15" t="s">
        <v>347</v>
      </c>
      <c r="D178" s="9" t="str">
        <f>+VLOOKUP($C178,'[1]CODE GENERATOR'!$D:$J,6,FALSE)</f>
        <v>GREEN</v>
      </c>
      <c r="E178" s="9" t="str">
        <f>+VLOOKUP($C178,'[1]CODE GENERATOR'!$D:$J,7,FALSE)</f>
        <v>GOLD</v>
      </c>
      <c r="F178" s="8" t="str">
        <f>+VLOOKUP(C178,'[1]CODE GENERATOR'!$D:$P,13,FALSE)</f>
        <v>H.FLYPN_EAR0055_KNT0000GRNGLD</v>
      </c>
    </row>
    <row r="179" spans="1:7" x14ac:dyDescent="0.25">
      <c r="A179" s="6" t="s">
        <v>92</v>
      </c>
      <c r="B179" s="7" t="s">
        <v>337</v>
      </c>
      <c r="C179" s="15" t="s">
        <v>348</v>
      </c>
      <c r="D179" s="9" t="str">
        <f>+VLOOKUP($C179,'[1]CODE GENERATOR'!$D:$J,6,FALSE)</f>
        <v>NAVY</v>
      </c>
      <c r="E179" s="9" t="str">
        <f>+VLOOKUP($C179,'[1]CODE GENERATOR'!$D:$J,7,FALSE)</f>
        <v>GOLD</v>
      </c>
      <c r="F179" s="8" t="str">
        <f>+VLOOKUP(C179,'[1]CODE GENERATOR'!$D:$P,13,FALSE)</f>
        <v>H.FLYPN_EAR0055_KNT0000NAVGLD</v>
      </c>
    </row>
    <row r="180" spans="1:7" x14ac:dyDescent="0.25">
      <c r="A180" s="6" t="s">
        <v>92</v>
      </c>
      <c r="B180" s="7" t="s">
        <v>337</v>
      </c>
      <c r="C180" s="15" t="s">
        <v>349</v>
      </c>
      <c r="D180" s="9" t="str">
        <f>+VLOOKUP($C180,'[1]CODE GENERATOR'!$D:$J,6,FALSE)</f>
        <v>BLACK</v>
      </c>
      <c r="E180" s="9" t="str">
        <f>+VLOOKUP($C180,'[1]CODE GENERATOR'!$D:$J,7,FALSE)</f>
        <v>GOLD</v>
      </c>
      <c r="F180" s="8" t="str">
        <f>+VLOOKUP(C180,'[1]CODE GENERATOR'!$D:$P,13,FALSE)</f>
        <v>H.FLYPN_EAR0055_KNT0000BLKGLD</v>
      </c>
    </row>
    <row r="181" spans="1:7" x14ac:dyDescent="0.25">
      <c r="A181" s="6" t="s">
        <v>93</v>
      </c>
      <c r="B181" s="7" t="s">
        <v>350</v>
      </c>
      <c r="C181" s="15" t="s">
        <v>351</v>
      </c>
      <c r="D181" s="9" t="str">
        <f>+VLOOKUP($C181,'[1]CODE GENERATOR'!$D:$J,6,FALSE)</f>
        <v>BLACK</v>
      </c>
      <c r="E181" s="9" t="str">
        <f>+VLOOKUP($C181,'[1]CODE GENERATOR'!$D:$J,7,FALSE)</f>
        <v>BLACK</v>
      </c>
      <c r="F181" s="8" t="str">
        <f>+VLOOKUP(C181,'[1]CODE GENERATOR'!$D:$P,13,FALSE)</f>
        <v>R.OTWMN_PUV0056_NYL0000BLKBLK</v>
      </c>
      <c r="G181" s="1" t="s">
        <v>3</v>
      </c>
    </row>
    <row r="182" spans="1:7" x14ac:dyDescent="0.25">
      <c r="A182" s="6" t="s">
        <v>93</v>
      </c>
      <c r="B182" s="7" t="s">
        <v>350</v>
      </c>
      <c r="C182" s="15" t="s">
        <v>352</v>
      </c>
      <c r="D182" s="9" t="str">
        <f>+VLOOKUP($C182,'[1]CODE GENERATOR'!$D:$J,6,FALSE)</f>
        <v>NAVY</v>
      </c>
      <c r="E182" s="9" t="str">
        <f>+VLOOKUP($C182,'[1]CODE GENERATOR'!$D:$J,7,FALSE)</f>
        <v>NAVY</v>
      </c>
      <c r="F182" s="8" t="str">
        <f>+VLOOKUP(C182,'[1]CODE GENERATOR'!$D:$P,13,FALSE)</f>
        <v>R.OTWMN_PUV0056_NYL0000NAVNAV</v>
      </c>
    </row>
    <row r="183" spans="1:7" x14ac:dyDescent="0.25">
      <c r="A183" s="6" t="s">
        <v>93</v>
      </c>
      <c r="B183" s="7" t="s">
        <v>350</v>
      </c>
      <c r="C183" s="15" t="s">
        <v>353</v>
      </c>
      <c r="D183" s="9" t="str">
        <f>+VLOOKUP($C183,'[1]CODE GENERATOR'!$D:$J,6,FALSE)</f>
        <v>PETROL</v>
      </c>
      <c r="E183" s="9" t="str">
        <f>+VLOOKUP($C183,'[1]CODE GENERATOR'!$D:$J,7,FALSE)</f>
        <v>PETROL</v>
      </c>
      <c r="F183" s="8" t="str">
        <f>+VLOOKUP(C183,'[1]CODE GENERATOR'!$D:$P,13,FALSE)</f>
        <v>R.OTWMN_PUV0056_NYL0000PETPET</v>
      </c>
    </row>
    <row r="184" spans="1:7" x14ac:dyDescent="0.25">
      <c r="A184" s="6" t="s">
        <v>93</v>
      </c>
      <c r="B184" s="7" t="s">
        <v>350</v>
      </c>
      <c r="C184" s="15" t="s">
        <v>354</v>
      </c>
      <c r="D184" s="9" t="str">
        <f>+VLOOKUP($C184,'[1]CODE GENERATOR'!$D:$J,6,FALSE)</f>
        <v>GREEN</v>
      </c>
      <c r="E184" s="9" t="str">
        <f>+VLOOKUP($C184,'[1]CODE GENERATOR'!$D:$J,7,FALSE)</f>
        <v>GREEN</v>
      </c>
      <c r="F184" s="8" t="str">
        <f>+VLOOKUP(C184,'[1]CODE GENERATOR'!$D:$P,13,FALSE)</f>
        <v>R.OTWMN_PUV0056_NYL0000GRNGRN</v>
      </c>
    </row>
    <row r="185" spans="1:7" x14ac:dyDescent="0.25">
      <c r="A185" s="12" t="s">
        <v>94</v>
      </c>
      <c r="B185" s="7" t="s">
        <v>355</v>
      </c>
      <c r="C185" s="15" t="s">
        <v>356</v>
      </c>
      <c r="D185" s="9" t="str">
        <f>+VLOOKUP($C185,'[1]CODE GENERATOR'!$D:$J,6,FALSE)</f>
        <v>CREAM</v>
      </c>
      <c r="E185" s="9" t="str">
        <f>+VLOOKUP($C185,'[1]CODE GENERATOR'!$D:$J,7,FALSE)</f>
        <v>CREAM</v>
      </c>
      <c r="F185" s="8" t="str">
        <f>+VLOOKUP(C185,'[1]CODE GENERATOR'!$D:$P,13,FALSE)</f>
        <v>R.OTWWN_PUV0057_NYL0000CRMCRM</v>
      </c>
    </row>
    <row r="186" spans="1:7" x14ac:dyDescent="0.25">
      <c r="A186" s="12" t="s">
        <v>94</v>
      </c>
      <c r="B186" s="7" t="s">
        <v>355</v>
      </c>
      <c r="C186" s="15" t="s">
        <v>357</v>
      </c>
      <c r="D186" s="9" t="str">
        <f>+VLOOKUP($C186,'[1]CODE GENERATOR'!$D:$J,6,FALSE)</f>
        <v>VIOLET</v>
      </c>
      <c r="E186" s="9" t="str">
        <f>+VLOOKUP($C186,'[1]CODE GENERATOR'!$D:$J,7,FALSE)</f>
        <v>VIOLET</v>
      </c>
      <c r="F186" s="8" t="str">
        <f>+VLOOKUP(C186,'[1]CODE GENERATOR'!$D:$P,13,FALSE)</f>
        <v>R.OTWWN_PUV0057_NYL0000VIOVIO</v>
      </c>
    </row>
    <row r="187" spans="1:7" x14ac:dyDescent="0.25">
      <c r="A187" s="12" t="s">
        <v>94</v>
      </c>
      <c r="B187" s="7" t="s">
        <v>355</v>
      </c>
      <c r="C187" s="15" t="s">
        <v>358</v>
      </c>
      <c r="D187" s="9" t="str">
        <f>+VLOOKUP($C187,'[1]CODE GENERATOR'!$D:$J,6,FALSE)</f>
        <v>BLACK</v>
      </c>
      <c r="E187" s="9" t="str">
        <f>+VLOOKUP($C187,'[1]CODE GENERATOR'!$D:$J,7,FALSE)</f>
        <v>BLACK</v>
      </c>
      <c r="F187" s="8" t="str">
        <f>+VLOOKUP(C187,'[1]CODE GENERATOR'!$D:$P,13,FALSE)</f>
        <v>R.OTWWN_PUV0057_NYL0000BLKBLK</v>
      </c>
    </row>
    <row r="188" spans="1:7" x14ac:dyDescent="0.25">
      <c r="A188" s="12" t="s">
        <v>94</v>
      </c>
      <c r="B188" s="7" t="s">
        <v>355</v>
      </c>
      <c r="C188" s="15" t="s">
        <v>359</v>
      </c>
      <c r="D188" s="9" t="str">
        <f>+VLOOKUP($C188,'[1]CODE GENERATOR'!$D:$J,6,FALSE)</f>
        <v>NAVY</v>
      </c>
      <c r="E188" s="9" t="str">
        <f>+VLOOKUP($C188,'[1]CODE GENERATOR'!$D:$J,7,FALSE)</f>
        <v>NAVY</v>
      </c>
      <c r="F188" s="8" t="str">
        <f>+VLOOKUP(C188,'[1]CODE GENERATOR'!$D:$P,13,FALSE)</f>
        <v>R.OTWWN_PUV0057_NYL0000NAVNAV</v>
      </c>
    </row>
    <row r="189" spans="1:7" x14ac:dyDescent="0.25">
      <c r="A189" s="12" t="s">
        <v>95</v>
      </c>
      <c r="B189" s="7" t="s">
        <v>360</v>
      </c>
      <c r="C189" s="15" t="s">
        <v>361</v>
      </c>
      <c r="D189" s="9" t="str">
        <f>+VLOOKUP($C189,'[1]CODE GENERATOR'!$D:$J,6,FALSE)</f>
        <v>BLACK</v>
      </c>
      <c r="E189" s="9" t="str">
        <f>+VLOOKUP($C189,'[1]CODE GENERATOR'!$D:$J,7,FALSE)</f>
        <v>BLACK</v>
      </c>
      <c r="F189" s="8" t="str">
        <f>+VLOOKUP(C189,'[1]CODE GENERATOR'!$D:$P,13,FALSE)</f>
        <v>R.OTWKU_PUV0058_NYL0000BLKBLK</v>
      </c>
    </row>
    <row r="190" spans="1:7" x14ac:dyDescent="0.25">
      <c r="A190" s="12" t="s">
        <v>95</v>
      </c>
      <c r="B190" s="7" t="s">
        <v>360</v>
      </c>
      <c r="C190" s="15" t="s">
        <v>362</v>
      </c>
      <c r="D190" s="9" t="str">
        <f>+VLOOKUP($C190,'[1]CODE GENERATOR'!$D:$J,6,FALSE)</f>
        <v>NAVY</v>
      </c>
      <c r="E190" s="9" t="str">
        <f>+VLOOKUP($C190,'[1]CODE GENERATOR'!$D:$J,7,FALSE)</f>
        <v>NAVY</v>
      </c>
      <c r="F190" s="8" t="str">
        <f>+VLOOKUP(C190,'[1]CODE GENERATOR'!$D:$P,13,FALSE)</f>
        <v>R.OTWKU_PUV0058_NYL0000NAVNAV</v>
      </c>
    </row>
    <row r="191" spans="1:7" x14ac:dyDescent="0.25">
      <c r="A191" s="12" t="s">
        <v>96</v>
      </c>
      <c r="B191" s="7" t="s">
        <v>363</v>
      </c>
      <c r="C191" s="15" t="s">
        <v>364</v>
      </c>
      <c r="D191" s="9" t="str">
        <f>+VLOOKUP($C191,'[1]CODE GENERATOR'!$D:$J,6,FALSE)</f>
        <v>GRAY</v>
      </c>
      <c r="E191" s="9" t="str">
        <f>+VLOOKUP($C191,'[1]CODE GENERATOR'!$D:$J,7,FALSE)</f>
        <v>BLACK</v>
      </c>
      <c r="F191" s="8" t="str">
        <f>+VLOOKUP(C191,'[1]CODE GENERATOR'!$D:$P,13,FALSE)</f>
        <v>R.S&amp;JMN_JMP0059_FLC0001GRYBLK</v>
      </c>
    </row>
    <row r="192" spans="1:7" x14ac:dyDescent="0.25">
      <c r="A192" s="12" t="s">
        <v>97</v>
      </c>
      <c r="B192" s="7" t="s">
        <v>365</v>
      </c>
      <c r="C192" s="15" t="s">
        <v>366</v>
      </c>
      <c r="D192" s="9" t="str">
        <f>+VLOOKUP($C192,'[1]CODE GENERATOR'!$D:$J,6,FALSE)</f>
        <v>GRAY</v>
      </c>
      <c r="E192" s="9" t="str">
        <f>+VLOOKUP($C192,'[1]CODE GENERATOR'!$D:$J,7,FALSE)</f>
        <v>BLACK</v>
      </c>
      <c r="F192" s="8" t="str">
        <f>+VLOOKUP(C192,'[1]CODE GENERATOR'!$D:$P,13,FALSE)</f>
        <v>R.S&amp;JMN_JMP0060_SWT0024GRYBLK</v>
      </c>
    </row>
    <row r="193" spans="1:7" x14ac:dyDescent="0.25">
      <c r="A193" s="12" t="s">
        <v>98</v>
      </c>
      <c r="B193" s="7" t="s">
        <v>367</v>
      </c>
      <c r="C193" s="15" t="s">
        <v>368</v>
      </c>
      <c r="D193" s="9" t="str">
        <f>+VLOOKUP($C193,'[1]CODE GENERATOR'!$D:$J,6,FALSE)</f>
        <v>PURPLE</v>
      </c>
      <c r="E193" s="9" t="str">
        <f>+VLOOKUP($C193,'[1]CODE GENERATOR'!$D:$J,7,FALSE)</f>
        <v>PURPLE</v>
      </c>
      <c r="F193" s="8" t="str">
        <f>+VLOOKUP(C193,'[1]CODE GENERATOR'!$D:$P,13,FALSE)</f>
        <v>R.S&amp;JKU_JMP0061_FLC0001PURPUR</v>
      </c>
    </row>
    <row r="194" spans="1:7" x14ac:dyDescent="0.25">
      <c r="A194" s="6" t="s">
        <v>99</v>
      </c>
      <c r="B194" s="7" t="s">
        <v>369</v>
      </c>
      <c r="C194" s="15" t="s">
        <v>370</v>
      </c>
      <c r="D194" s="9" t="str">
        <f>+VLOOKUP($C194,'[1]CODE GENERATOR'!$D:$J,6,FALSE)</f>
        <v>BLACK</v>
      </c>
      <c r="E194" s="9" t="str">
        <f>+VLOOKUP($C194,'[1]CODE GENERATOR'!$D:$J,7,FALSE)</f>
        <v>BLACK</v>
      </c>
      <c r="F194" s="8" t="str">
        <f>+VLOOKUP(C194,'[1]CODE GENERATOR'!$D:$P,13,FALSE)</f>
        <v>A.SACNA_STC0062_RPS0003BLKBLK</v>
      </c>
    </row>
    <row r="195" spans="1:7" x14ac:dyDescent="0.25">
      <c r="A195" s="6" t="s">
        <v>100</v>
      </c>
      <c r="B195" s="7" t="s">
        <v>371</v>
      </c>
      <c r="C195" s="15" t="s">
        <v>372</v>
      </c>
      <c r="D195" s="9" t="str">
        <f>+VLOOKUP($C195,'[1]CODE GENERATOR'!$D:$J,6,FALSE)</f>
        <v>BLACK</v>
      </c>
      <c r="E195" s="9" t="str">
        <f>+VLOOKUP($C195,'[1]CODE GENERATOR'!$D:$J,7,FALSE)</f>
        <v>BLACK</v>
      </c>
      <c r="F195" s="8" t="str">
        <f>+VLOOKUP(C195,'[1]CODE GENERATOR'!$D:$P,13,FALSE)</f>
        <v>A.SACNA_STG0063_RPS0003BLKBLK</v>
      </c>
    </row>
    <row r="196" spans="1:7" x14ac:dyDescent="0.25">
      <c r="A196" s="6" t="s">
        <v>101</v>
      </c>
      <c r="B196" s="7" t="s">
        <v>373</v>
      </c>
      <c r="C196" s="15" t="s">
        <v>374</v>
      </c>
      <c r="D196" s="9" t="str">
        <f>+VLOOKUP($C196,'[1]CODE GENERATOR'!$D:$J,6,FALSE)</f>
        <v>BLACK</v>
      </c>
      <c r="E196" s="9" t="str">
        <f>+VLOOKUP($C196,'[1]CODE GENERATOR'!$D:$J,7,FALSE)</f>
        <v>BLACK</v>
      </c>
      <c r="F196" s="8" t="str">
        <f>+VLOOKUP(C196,'[1]CODE GENERATOR'!$D:$P,13,FALSE)</f>
        <v>R.TOPWN_TTS0064_SUP0025BLKBLK</v>
      </c>
      <c r="G196" s="1" t="s">
        <v>0</v>
      </c>
    </row>
    <row r="197" spans="1:7" x14ac:dyDescent="0.25">
      <c r="A197" s="6" t="s">
        <v>102</v>
      </c>
      <c r="B197" s="7" t="s">
        <v>375</v>
      </c>
      <c r="C197" s="15" t="s">
        <v>376</v>
      </c>
      <c r="D197" s="9" t="str">
        <f>+VLOOKUP($C197,'[1]CODE GENERATOR'!$D:$J,6,FALSE)</f>
        <v>DARK GRAY</v>
      </c>
      <c r="E197" s="9" t="str">
        <f>+VLOOKUP($C197,'[1]CODE GENERATOR'!$D:$J,7,FALSE)</f>
        <v>DARK GRAY</v>
      </c>
      <c r="F197" s="8" t="str">
        <f>+VLOOKUP(C197,'[1]CODE GENERATOR'!$D:$P,13,FALSE)</f>
        <v>R.TOPKG_BLY0065_SUP0017DGYDGY</v>
      </c>
    </row>
    <row r="198" spans="1:7" x14ac:dyDescent="0.25">
      <c r="A198" s="6" t="s">
        <v>102</v>
      </c>
      <c r="B198" s="7" t="s">
        <v>375</v>
      </c>
      <c r="C198" s="15" t="s">
        <v>377</v>
      </c>
      <c r="D198" s="9" t="str">
        <f>+VLOOKUP($C198,'[1]CODE GENERATOR'!$D:$J,6,FALSE)</f>
        <v>BORDEAUX</v>
      </c>
      <c r="E198" s="9" t="str">
        <f>+VLOOKUP($C198,'[1]CODE GENERATOR'!$D:$J,7,FALSE)</f>
        <v>BORDEAUX</v>
      </c>
      <c r="F198" s="8" t="str">
        <f>+VLOOKUP(C198,'[1]CODE GENERATOR'!$D:$P,13,FALSE)</f>
        <v>R.TOPKG_BLY0065_SUP0017BORBOR</v>
      </c>
    </row>
    <row r="199" spans="1:7" x14ac:dyDescent="0.25">
      <c r="A199" s="6" t="s">
        <v>103</v>
      </c>
      <c r="B199" s="7" t="s">
        <v>378</v>
      </c>
      <c r="C199" s="15" t="s">
        <v>379</v>
      </c>
      <c r="D199" s="9" t="str">
        <f>+VLOOKUP($C199,'[1]CODE GENERATOR'!$D:$J,6,FALSE)</f>
        <v>WHITE</v>
      </c>
      <c r="E199" s="9" t="str">
        <f>+VLOOKUP($C199,'[1]CODE GENERATOR'!$D:$J,7,FALSE)</f>
        <v>WHITE</v>
      </c>
      <c r="F199" s="8" t="str">
        <f>+VLOOKUP(C199,'[1]CODE GENERATOR'!$D:$P,13,FALSE)</f>
        <v>R.BOTMN_BRC0066_TJR0026WHTWHT</v>
      </c>
      <c r="G199" s="1" t="s">
        <v>3</v>
      </c>
    </row>
    <row r="200" spans="1:7" x14ac:dyDescent="0.25">
      <c r="A200" s="6" t="s">
        <v>103</v>
      </c>
      <c r="B200" s="7" t="s">
        <v>378</v>
      </c>
      <c r="C200" s="15" t="s">
        <v>380</v>
      </c>
      <c r="D200" s="9" t="str">
        <f>+VLOOKUP($C200,'[1]CODE GENERATOR'!$D:$J,6,FALSE)</f>
        <v>BEIGE</v>
      </c>
      <c r="E200" s="9" t="str">
        <f>+VLOOKUP($C200,'[1]CODE GENERATOR'!$D:$J,7,FALSE)</f>
        <v>BEIGE</v>
      </c>
      <c r="F200" s="8" t="str">
        <f>+VLOOKUP(C200,'[1]CODE GENERATOR'!$D:$P,13,FALSE)</f>
        <v>R.BOTMN_BRC0066_TJR0026BEGBEG</v>
      </c>
      <c r="G200" s="1" t="s">
        <v>3</v>
      </c>
    </row>
    <row r="201" spans="1:7" x14ac:dyDescent="0.25">
      <c r="A201" s="6" t="s">
        <v>103</v>
      </c>
      <c r="B201" s="7" t="s">
        <v>378</v>
      </c>
      <c r="C201" s="15" t="s">
        <v>381</v>
      </c>
      <c r="D201" s="9" t="str">
        <f>+VLOOKUP($C201,'[1]CODE GENERATOR'!$D:$J,6,FALSE)</f>
        <v>BLACK</v>
      </c>
      <c r="E201" s="9" t="str">
        <f>+VLOOKUP($C201,'[1]CODE GENERATOR'!$D:$J,7,FALSE)</f>
        <v>BLACK</v>
      </c>
      <c r="F201" s="8" t="str">
        <f>+VLOOKUP(C201,'[1]CODE GENERATOR'!$D:$P,13,FALSE)</f>
        <v>R.BOTMN_BRC0066_TJR0026BLKBLK</v>
      </c>
      <c r="G201" s="1" t="s">
        <v>3</v>
      </c>
    </row>
    <row r="202" spans="1:7" x14ac:dyDescent="0.25">
      <c r="A202" s="6" t="s">
        <v>103</v>
      </c>
      <c r="B202" s="7" t="s">
        <v>378</v>
      </c>
      <c r="C202" s="15" t="s">
        <v>382</v>
      </c>
      <c r="D202" s="9" t="str">
        <f>+VLOOKUP($C202,'[1]CODE GENERATOR'!$D:$J,6,FALSE)</f>
        <v>NAVY</v>
      </c>
      <c r="E202" s="9" t="str">
        <f>+VLOOKUP($C202,'[1]CODE GENERATOR'!$D:$J,7,FALSE)</f>
        <v>NAVY</v>
      </c>
      <c r="F202" s="8" t="str">
        <f>+VLOOKUP(C202,'[1]CODE GENERATOR'!$D:$P,13,FALSE)</f>
        <v>R.BOTMN_BRC0066_TJR0026NAVNAV</v>
      </c>
      <c r="G202" s="1" t="s">
        <v>3</v>
      </c>
    </row>
    <row r="203" spans="1:7" x14ac:dyDescent="0.25">
      <c r="A203" s="6" t="s">
        <v>103</v>
      </c>
      <c r="B203" s="7" t="s">
        <v>378</v>
      </c>
      <c r="C203" s="15" t="s">
        <v>383</v>
      </c>
      <c r="D203" s="9" t="str">
        <f>+VLOOKUP($C203,'[1]CODE GENERATOR'!$D:$J,6,FALSE)</f>
        <v>STORM GRAY</v>
      </c>
      <c r="E203" s="9" t="str">
        <f>+VLOOKUP($C203,'[1]CODE GENERATOR'!$D:$J,7,FALSE)</f>
        <v>STORM GRAY</v>
      </c>
      <c r="F203" s="8" t="str">
        <f>+VLOOKUP(C203,'[1]CODE GENERATOR'!$D:$P,13,FALSE)</f>
        <v>R.BOTMN_BRC0066_TJR0026STGSTG</v>
      </c>
      <c r="G203" s="1" t="s">
        <v>3</v>
      </c>
    </row>
    <row r="204" spans="1:7" x14ac:dyDescent="0.25">
      <c r="A204" s="6" t="s">
        <v>103</v>
      </c>
      <c r="B204" s="7" t="s">
        <v>378</v>
      </c>
      <c r="C204" s="15" t="s">
        <v>384</v>
      </c>
      <c r="D204" s="9" t="str">
        <f>+VLOOKUP($C204,'[1]CODE GENERATOR'!$D:$J,6,FALSE)</f>
        <v>TAUPE</v>
      </c>
      <c r="E204" s="9" t="str">
        <f>+VLOOKUP($C204,'[1]CODE GENERATOR'!$D:$J,7,FALSE)</f>
        <v>TAUPE</v>
      </c>
      <c r="F204" s="8" t="str">
        <f>+VLOOKUP(C204,'[1]CODE GENERATOR'!$D:$P,13,FALSE)</f>
        <v>R.BOTMN_BRC0066_TJR0026TAUTAU</v>
      </c>
      <c r="G204" s="1" t="s">
        <v>3</v>
      </c>
    </row>
    <row r="205" spans="1:7" x14ac:dyDescent="0.25">
      <c r="A205" s="6" t="s">
        <v>104</v>
      </c>
      <c r="B205" s="7" t="s">
        <v>385</v>
      </c>
      <c r="C205" s="15" t="s">
        <v>386</v>
      </c>
      <c r="D205" s="9" t="str">
        <f>+VLOOKUP($C205,'[1]CODE GENERATOR'!$D:$J,6,FALSE)</f>
        <v>WHITE</v>
      </c>
      <c r="E205" s="9" t="str">
        <f>+VLOOKUP($C205,'[1]CODE GENERATOR'!$D:$J,7,FALSE)</f>
        <v>WHITE</v>
      </c>
      <c r="F205" s="8" t="str">
        <f>+VLOOKUP(C205,'[1]CODE GENERATOR'!$D:$P,13,FALSE)</f>
        <v>R.BOTWN_BRC0067_TJR0027WHTWHT</v>
      </c>
      <c r="G205" s="1" t="s">
        <v>0</v>
      </c>
    </row>
    <row r="206" spans="1:7" x14ac:dyDescent="0.25">
      <c r="A206" s="6" t="s">
        <v>104</v>
      </c>
      <c r="B206" s="7" t="s">
        <v>385</v>
      </c>
      <c r="C206" s="15" t="s">
        <v>387</v>
      </c>
      <c r="D206" s="9" t="str">
        <f>+VLOOKUP($C206,'[1]CODE GENERATOR'!$D:$J,6,FALSE)</f>
        <v>BEIGE</v>
      </c>
      <c r="E206" s="9" t="str">
        <f>+VLOOKUP($C206,'[1]CODE GENERATOR'!$D:$J,7,FALSE)</f>
        <v>BEIGE</v>
      </c>
      <c r="F206" s="8" t="str">
        <f>+VLOOKUP(C206,'[1]CODE GENERATOR'!$D:$P,13,FALSE)</f>
        <v>R.BOTWN_BRC0067_TJR0027BEGBEG</v>
      </c>
      <c r="G206" s="1" t="s">
        <v>0</v>
      </c>
    </row>
    <row r="207" spans="1:7" x14ac:dyDescent="0.25">
      <c r="A207" s="6" t="s">
        <v>104</v>
      </c>
      <c r="B207" s="7" t="s">
        <v>385</v>
      </c>
      <c r="C207" s="15" t="s">
        <v>388</v>
      </c>
      <c r="D207" s="9" t="str">
        <f>+VLOOKUP($C207,'[1]CODE GENERATOR'!$D:$J,6,FALSE)</f>
        <v>BLACK</v>
      </c>
      <c r="E207" s="9" t="str">
        <f>+VLOOKUP($C207,'[1]CODE GENERATOR'!$D:$J,7,FALSE)</f>
        <v>BLACK</v>
      </c>
      <c r="F207" s="8" t="str">
        <f>+VLOOKUP(C207,'[1]CODE GENERATOR'!$D:$P,13,FALSE)</f>
        <v>R.BOTWN_BRC0067_TJR0027BLKBLK</v>
      </c>
      <c r="G207" s="1" t="s">
        <v>0</v>
      </c>
    </row>
    <row r="208" spans="1:7" x14ac:dyDescent="0.25">
      <c r="A208" s="6" t="s">
        <v>104</v>
      </c>
      <c r="B208" s="7" t="s">
        <v>385</v>
      </c>
      <c r="C208" s="15" t="s">
        <v>389</v>
      </c>
      <c r="D208" s="9" t="str">
        <f>+VLOOKUP($C208,'[1]CODE GENERATOR'!$D:$J,6,FALSE)</f>
        <v>NAVY</v>
      </c>
      <c r="E208" s="9" t="str">
        <f>+VLOOKUP($C208,'[1]CODE GENERATOR'!$D:$J,7,FALSE)</f>
        <v>NAVY</v>
      </c>
      <c r="F208" s="8" t="str">
        <f>+VLOOKUP(C208,'[1]CODE GENERATOR'!$D:$P,13,FALSE)</f>
        <v>R.BOTWN_BRC0067_TJR0027NAVNAV</v>
      </c>
      <c r="G208" s="1" t="s">
        <v>0</v>
      </c>
    </row>
    <row r="209" spans="1:7" x14ac:dyDescent="0.25">
      <c r="A209" s="17" t="s">
        <v>104</v>
      </c>
      <c r="B209" s="18" t="s">
        <v>385</v>
      </c>
      <c r="C209" s="11" t="s">
        <v>390</v>
      </c>
      <c r="D209" s="9" t="str">
        <f>+VLOOKUP($C209,'[1]CODE GENERATOR'!$D:$J,6,FALSE)</f>
        <v>DARK GRAY</v>
      </c>
      <c r="E209" s="9" t="str">
        <f>+VLOOKUP($C209,'[1]CODE GENERATOR'!$D:$J,7,FALSE)</f>
        <v>DARK GRAY</v>
      </c>
      <c r="F209" s="8" t="str">
        <f>+VLOOKUP(C209,'[1]CODE GENERATOR'!$D:$P,13,FALSE)</f>
        <v>R.BOTWN_BRC0067_TJR0027DGYDGY</v>
      </c>
      <c r="G209" s="1" t="s">
        <v>0</v>
      </c>
    </row>
    <row r="210" spans="1:7" x14ac:dyDescent="0.25">
      <c r="A210" s="6" t="s">
        <v>104</v>
      </c>
      <c r="B210" s="7" t="s">
        <v>385</v>
      </c>
      <c r="C210" s="15" t="s">
        <v>391</v>
      </c>
      <c r="D210" s="9" t="str">
        <f>+VLOOKUP($C210,'[1]CODE GENERATOR'!$D:$J,6,FALSE)</f>
        <v>TAUPE</v>
      </c>
      <c r="E210" s="9" t="str">
        <f>+VLOOKUP($C210,'[1]CODE GENERATOR'!$D:$J,7,FALSE)</f>
        <v>TAUPE</v>
      </c>
      <c r="F210" s="8" t="str">
        <f>+VLOOKUP(C210,'[1]CODE GENERATOR'!$D:$P,13,FALSE)</f>
        <v>R.BOTWN_BRC0067_TJR0027TAUTAU</v>
      </c>
      <c r="G210" s="1" t="s">
        <v>0</v>
      </c>
    </row>
    <row r="211" spans="1:7" x14ac:dyDescent="0.25">
      <c r="A211" s="6" t="s">
        <v>104</v>
      </c>
      <c r="B211" s="7" t="s">
        <v>385</v>
      </c>
      <c r="C211" s="15" t="s">
        <v>392</v>
      </c>
      <c r="D211" s="9" t="str">
        <f>+VLOOKUP($C211,'[1]CODE GENERATOR'!$D:$J,6,FALSE)</f>
        <v>GREEN</v>
      </c>
      <c r="E211" s="9" t="str">
        <f>+VLOOKUP($C211,'[1]CODE GENERATOR'!$D:$J,7,FALSE)</f>
        <v>GREEN</v>
      </c>
      <c r="F211" s="8" t="str">
        <f>+VLOOKUP(C211,'[1]CODE GENERATOR'!$D:$P,13,FALSE)</f>
        <v>R.BOTWN_BRC0067_TJR0027GRNGRN</v>
      </c>
      <c r="G211" s="1" t="s">
        <v>0</v>
      </c>
    </row>
    <row r="212" spans="1:7" x14ac:dyDescent="0.25">
      <c r="A212" s="6" t="s">
        <v>105</v>
      </c>
      <c r="B212" s="7" t="s">
        <v>393</v>
      </c>
      <c r="C212" s="15" t="s">
        <v>394</v>
      </c>
      <c r="D212" s="9" t="str">
        <f>+VLOOKUP($C212,'[1]CODE GENERATOR'!$D:$J,6,FALSE)</f>
        <v>WHITE</v>
      </c>
      <c r="E212" s="9" t="str">
        <f>+VLOOKUP($C212,'[1]CODE GENERATOR'!$D:$J,7,FALSE)</f>
        <v>WHITE</v>
      </c>
      <c r="F212" s="8" t="str">
        <f>+VLOOKUP(C212,'[1]CODE GENERATOR'!$D:$P,13,FALSE)</f>
        <v>R.BOTKU_BRC0068_TJR0029WHTWHT</v>
      </c>
    </row>
    <row r="213" spans="1:7" x14ac:dyDescent="0.25">
      <c r="A213" s="6" t="s">
        <v>105</v>
      </c>
      <c r="B213" s="7" t="s">
        <v>393</v>
      </c>
      <c r="C213" s="15" t="s">
        <v>395</v>
      </c>
      <c r="D213" s="9" t="str">
        <f>+VLOOKUP($C213,'[1]CODE GENERATOR'!$D:$J,6,FALSE)</f>
        <v>BLACK</v>
      </c>
      <c r="E213" s="9" t="str">
        <f>+VLOOKUP($C213,'[1]CODE GENERATOR'!$D:$J,7,FALSE)</f>
        <v>BLACK</v>
      </c>
      <c r="F213" s="8" t="str">
        <f>+VLOOKUP(C213,'[1]CODE GENERATOR'!$D:$P,13,FALSE)</f>
        <v>R.BOTKU_BRC0068_TJR0029BLKBLK</v>
      </c>
    </row>
    <row r="214" spans="1:7" x14ac:dyDescent="0.25">
      <c r="A214" s="6" t="s">
        <v>105</v>
      </c>
      <c r="B214" s="7" t="s">
        <v>393</v>
      </c>
      <c r="C214" s="15" t="s">
        <v>396</v>
      </c>
      <c r="D214" s="9" t="str">
        <f>+VLOOKUP($C214,'[1]CODE GENERATOR'!$D:$J,6,FALSE)</f>
        <v>NAVY</v>
      </c>
      <c r="E214" s="9" t="str">
        <f>+VLOOKUP($C214,'[1]CODE GENERATOR'!$D:$J,7,FALSE)</f>
        <v>NAVY</v>
      </c>
      <c r="F214" s="8" t="str">
        <f>+VLOOKUP(C214,'[1]CODE GENERATOR'!$D:$P,13,FALSE)</f>
        <v>R.BOTKU_BRC0068_TJR0029NAVNAV</v>
      </c>
    </row>
    <row r="215" spans="1:7" x14ac:dyDescent="0.25">
      <c r="A215" s="6" t="s">
        <v>106</v>
      </c>
      <c r="B215" s="7" t="s">
        <v>397</v>
      </c>
      <c r="C215" s="15" t="s">
        <v>398</v>
      </c>
      <c r="D215" s="9" t="str">
        <f>+VLOOKUP($C215,'[1]CODE GENERATOR'!$D:$J,6,FALSE)</f>
        <v>BLACK</v>
      </c>
      <c r="E215" s="9" t="str">
        <f>+VLOOKUP($C215,'[1]CODE GENERATOR'!$D:$J,7,FALSE)</f>
        <v>BLACK</v>
      </c>
      <c r="F215" s="8" t="str">
        <f>+VLOOKUP(C215,'[1]CODE GENERATOR'!$D:$P,13,FALSE)</f>
        <v>R.BOTWN_LGN0069_TJR0028BLKBLK</v>
      </c>
      <c r="G215" s="1" t="s">
        <v>0</v>
      </c>
    </row>
    <row r="216" spans="1:7" x14ac:dyDescent="0.25">
      <c r="A216" s="6" t="s">
        <v>106</v>
      </c>
      <c r="B216" s="7" t="s">
        <v>397</v>
      </c>
      <c r="C216" s="15" t="s">
        <v>399</v>
      </c>
      <c r="D216" s="9" t="str">
        <f>+VLOOKUP($C216,'[1]CODE GENERATOR'!$D:$J,6,FALSE)</f>
        <v>NAVY</v>
      </c>
      <c r="E216" s="9" t="str">
        <f>+VLOOKUP($C216,'[1]CODE GENERATOR'!$D:$J,7,FALSE)</f>
        <v>NAVY</v>
      </c>
      <c r="F216" s="8" t="str">
        <f>+VLOOKUP(C216,'[1]CODE GENERATOR'!$D:$P,13,FALSE)</f>
        <v>R.BOTWN_LGN0069_TJR0028NAVNAV</v>
      </c>
      <c r="G216" s="1" t="s">
        <v>0</v>
      </c>
    </row>
    <row r="217" spans="1:7" x14ac:dyDescent="0.25">
      <c r="A217" s="6" t="s">
        <v>106</v>
      </c>
      <c r="B217" s="7" t="s">
        <v>397</v>
      </c>
      <c r="C217" s="15" t="s">
        <v>400</v>
      </c>
      <c r="D217" s="9" t="str">
        <f>+VLOOKUP($C217,'[1]CODE GENERATOR'!$D:$J,6,FALSE)</f>
        <v>DARK GRAY</v>
      </c>
      <c r="E217" s="9" t="str">
        <f>+VLOOKUP($C217,'[1]CODE GENERATOR'!$D:$J,7,FALSE)</f>
        <v>DARK GRAY</v>
      </c>
      <c r="F217" s="8" t="str">
        <f>+VLOOKUP(C217,'[1]CODE GENERATOR'!$D:$P,13,FALSE)</f>
        <v>R.BOTWN_LGN0069_TJR0028DGYDGY</v>
      </c>
      <c r="G217" s="1" t="s">
        <v>0</v>
      </c>
    </row>
    <row r="218" spans="1:7" x14ac:dyDescent="0.25">
      <c r="A218" s="6" t="s">
        <v>106</v>
      </c>
      <c r="B218" s="7" t="s">
        <v>397</v>
      </c>
      <c r="C218" s="15" t="s">
        <v>401</v>
      </c>
      <c r="D218" s="9" t="str">
        <f>+VLOOKUP($C218,'[1]CODE GENERATOR'!$D:$J,6,FALSE)</f>
        <v>GREEN</v>
      </c>
      <c r="E218" s="9" t="str">
        <f>+VLOOKUP($C218,'[1]CODE GENERATOR'!$D:$J,7,FALSE)</f>
        <v>GREEN</v>
      </c>
      <c r="F218" s="8" t="str">
        <f>+VLOOKUP(C218,'[1]CODE GENERATOR'!$D:$P,13,FALSE)</f>
        <v>R.BOTWN_LGN0069_TJR0028GRNGRN</v>
      </c>
      <c r="G218" s="1" t="s">
        <v>0</v>
      </c>
    </row>
    <row r="219" spans="1:7" x14ac:dyDescent="0.25">
      <c r="A219" s="6" t="s">
        <v>106</v>
      </c>
      <c r="B219" s="7" t="s">
        <v>397</v>
      </c>
      <c r="C219" s="15" t="s">
        <v>402</v>
      </c>
      <c r="D219" s="9" t="str">
        <f>+VLOOKUP($C219,'[1]CODE GENERATOR'!$D:$J,6,FALSE)</f>
        <v>TAUPE</v>
      </c>
      <c r="E219" s="9" t="str">
        <f>+VLOOKUP($C219,'[1]CODE GENERATOR'!$D:$J,7,FALSE)</f>
        <v>TAUPE</v>
      </c>
      <c r="F219" s="8" t="str">
        <f>+VLOOKUP(C219,'[1]CODE GENERATOR'!$D:$P,13,FALSE)</f>
        <v>R.BOTWN_LGN0069_TJR0028TAUTAU</v>
      </c>
      <c r="G219" s="1" t="s">
        <v>0</v>
      </c>
    </row>
    <row r="220" spans="1:7" x14ac:dyDescent="0.25">
      <c r="A220" s="6" t="s">
        <v>107</v>
      </c>
      <c r="B220" s="7" t="s">
        <v>403</v>
      </c>
      <c r="C220" s="15" t="s">
        <v>404</v>
      </c>
      <c r="D220" s="9" t="str">
        <f>+VLOOKUP($C220,'[1]CODE GENERATOR'!$D:$J,6,FALSE)</f>
        <v>BLACK</v>
      </c>
      <c r="E220" s="9" t="str">
        <f>+VLOOKUP($C220,'[1]CODE GENERATOR'!$D:$J,7,FALSE)</f>
        <v>BLACK</v>
      </c>
      <c r="F220" s="8" t="str">
        <f>+VLOOKUP(C220,'[1]CODE GENERATOR'!$D:$P,13,FALSE)</f>
        <v>R.BOTKG_LGN0070_TJR0028BLKBLK</v>
      </c>
    </row>
    <row r="221" spans="1:7" x14ac:dyDescent="0.25">
      <c r="A221" s="6" t="s">
        <v>107</v>
      </c>
      <c r="B221" s="7" t="s">
        <v>403</v>
      </c>
      <c r="C221" s="15" t="s">
        <v>405</v>
      </c>
      <c r="D221" s="9" t="str">
        <f>+VLOOKUP($C221,'[1]CODE GENERATOR'!$D:$J,6,FALSE)</f>
        <v>NAVY</v>
      </c>
      <c r="E221" s="9" t="str">
        <f>+VLOOKUP($C221,'[1]CODE GENERATOR'!$D:$J,7,FALSE)</f>
        <v>NAVY</v>
      </c>
      <c r="F221" s="8" t="str">
        <f>+VLOOKUP(C221,'[1]CODE GENERATOR'!$D:$P,13,FALSE)</f>
        <v>R.BOTKG_LGN0070_TJR0028NAVNAV</v>
      </c>
    </row>
    <row r="222" spans="1:7" x14ac:dyDescent="0.25">
      <c r="A222" s="6" t="s">
        <v>107</v>
      </c>
      <c r="B222" s="7" t="s">
        <v>403</v>
      </c>
      <c r="C222" s="15" t="s">
        <v>406</v>
      </c>
      <c r="D222" s="9" t="str">
        <f>+VLOOKUP($C222,'[1]CODE GENERATOR'!$D:$J,6,FALSE)</f>
        <v>TAUPE</v>
      </c>
      <c r="E222" s="9" t="str">
        <f>+VLOOKUP($C222,'[1]CODE GENERATOR'!$D:$J,7,FALSE)</f>
        <v>TAUPE</v>
      </c>
      <c r="F222" s="8" t="str">
        <f>+VLOOKUP(C222,'[1]CODE GENERATOR'!$D:$P,13,FALSE)</f>
        <v>R.BOTKG_LGN0070_TJR0028TAUTAU</v>
      </c>
    </row>
    <row r="223" spans="1:7" x14ac:dyDescent="0.25">
      <c r="A223" s="6" t="s">
        <v>108</v>
      </c>
      <c r="B223" s="7" t="s">
        <v>407</v>
      </c>
      <c r="C223" s="15" t="s">
        <v>408</v>
      </c>
      <c r="D223" s="9" t="str">
        <f>+VLOOKUP($C223,'[1]CODE GENERATOR'!$D:$J,6,FALSE)</f>
        <v>BLACK</v>
      </c>
      <c r="E223" s="9" t="str">
        <f>+VLOOKUP($C223,'[1]CODE GENERATOR'!$D:$J,7,FALSE)</f>
        <v>BLACK</v>
      </c>
      <c r="F223" s="8" t="str">
        <f>+VLOOKUP(C223,'[1]CODE GENERATOR'!$D:$P,13,FALSE)</f>
        <v>R.J&amp;TMN_CJK0071_TJR0026BLKBLK</v>
      </c>
      <c r="G223" s="1" t="s">
        <v>3</v>
      </c>
    </row>
    <row r="224" spans="1:7" x14ac:dyDescent="0.25">
      <c r="A224" s="6" t="s">
        <v>108</v>
      </c>
      <c r="B224" s="7" t="s">
        <v>407</v>
      </c>
      <c r="C224" s="15" t="s">
        <v>409</v>
      </c>
      <c r="D224" s="9" t="str">
        <f>+VLOOKUP($C224,'[1]CODE GENERATOR'!$D:$J,6,FALSE)</f>
        <v>DARK GRAY</v>
      </c>
      <c r="E224" s="9" t="str">
        <f>+VLOOKUP($C224,'[1]CODE GENERATOR'!$D:$J,7,FALSE)</f>
        <v>DARK GRAY</v>
      </c>
      <c r="F224" s="8" t="str">
        <f>+VLOOKUP(C224,'[1]CODE GENERATOR'!$D:$P,13,FALSE)</f>
        <v>R.J&amp;TMN_CJK0071_TJR0026DGYDGY</v>
      </c>
    </row>
    <row r="225" spans="1:7" x14ac:dyDescent="0.25">
      <c r="A225" s="6" t="s">
        <v>109</v>
      </c>
      <c r="B225" s="7" t="s">
        <v>410</v>
      </c>
      <c r="C225" s="15" t="s">
        <v>411</v>
      </c>
      <c r="D225" s="9" t="str">
        <f>+VLOOKUP($C225,'[1]CODE GENERATOR'!$D:$J,6,FALSE)</f>
        <v>BLACK</v>
      </c>
      <c r="E225" s="9" t="str">
        <f>+VLOOKUP($C225,'[1]CODE GENERATOR'!$D:$J,7,FALSE)</f>
        <v>BLACK</v>
      </c>
      <c r="F225" s="8" t="str">
        <f>+VLOOKUP(C225,'[1]CODE GENERATOR'!$D:$P,13,FALSE)</f>
        <v>R.J&amp;TWN_CJK0072_TJR0027BLKBLK</v>
      </c>
      <c r="G225" s="1" t="s">
        <v>0</v>
      </c>
    </row>
    <row r="226" spans="1:7" x14ac:dyDescent="0.25">
      <c r="A226" s="6" t="s">
        <v>110</v>
      </c>
      <c r="B226" s="7" t="s">
        <v>293</v>
      </c>
      <c r="C226" s="15" t="s">
        <v>412</v>
      </c>
      <c r="D226" s="9" t="str">
        <f>+VLOOKUP($C226,'[1]CODE GENERATOR'!$D:$J,6,FALSE)</f>
        <v>LIGHT GRAY</v>
      </c>
      <c r="E226" s="9" t="str">
        <f>+VLOOKUP($C226,'[1]CODE GENERATOR'!$D:$J,7,FALSE)</f>
        <v>LIGHT GRAY</v>
      </c>
      <c r="F226" s="8" t="str">
        <f>+VLOOKUP(C226,'[1]CODE GENERATOR'!$D:$P,13,FALSE)</f>
        <v>R.TOPMN_CPL0073_SUP0016LGYLGY</v>
      </c>
      <c r="G226" s="1" t="s">
        <v>3</v>
      </c>
    </row>
    <row r="227" spans="1:7" x14ac:dyDescent="0.25">
      <c r="A227" s="6" t="s">
        <v>111</v>
      </c>
      <c r="B227" s="7" t="s">
        <v>413</v>
      </c>
      <c r="C227" s="15" t="s">
        <v>414</v>
      </c>
      <c r="D227" s="9" t="str">
        <f>+VLOOKUP($C227,'[1]CODE GENERATOR'!$D:$J,6,FALSE)</f>
        <v>WHITE</v>
      </c>
      <c r="E227" s="9" t="str">
        <f>+VLOOKUP($C227,'[1]CODE GENERATOR'!$D:$J,7,FALSE)</f>
        <v>WHITE</v>
      </c>
      <c r="F227" s="8" t="str">
        <f>+VLOOKUP(C227,'[1]CODE GENERATOR'!$D:$P,13,FALSE)</f>
        <v>R.TOPMN_TPL0074_PIQ0015WHTWHT</v>
      </c>
    </row>
    <row r="228" spans="1:7" x14ac:dyDescent="0.25">
      <c r="A228" s="6" t="s">
        <v>111</v>
      </c>
      <c r="B228" s="7" t="s">
        <v>413</v>
      </c>
      <c r="C228" s="15" t="s">
        <v>415</v>
      </c>
      <c r="D228" s="9" t="str">
        <f>+VLOOKUP($C228,'[1]CODE GENERATOR'!$D:$J,6,FALSE)</f>
        <v>NAVY</v>
      </c>
      <c r="E228" s="9" t="str">
        <f>+VLOOKUP($C228,'[1]CODE GENERATOR'!$D:$J,7,FALSE)</f>
        <v>NAVY</v>
      </c>
      <c r="F228" s="8" t="str">
        <f>+VLOOKUP(C228,'[1]CODE GENERATOR'!$D:$P,13,FALSE)</f>
        <v>R.TOPMN_TPL0074_PIQ0015NAVNAV</v>
      </c>
    </row>
    <row r="229" spans="1:7" x14ac:dyDescent="0.25">
      <c r="A229" s="6" t="s">
        <v>111</v>
      </c>
      <c r="B229" s="7" t="s">
        <v>413</v>
      </c>
      <c r="C229" s="15" t="s">
        <v>416</v>
      </c>
      <c r="D229" s="9" t="str">
        <f>+VLOOKUP($C229,'[1]CODE GENERATOR'!$D:$J,6,FALSE)</f>
        <v>LIGHT GRAY</v>
      </c>
      <c r="E229" s="9" t="str">
        <f>+VLOOKUP($C229,'[1]CODE GENERATOR'!$D:$J,7,FALSE)</f>
        <v>LIGHT GRAY</v>
      </c>
      <c r="F229" s="8" t="str">
        <f>+VLOOKUP(C229,'[1]CODE GENERATOR'!$D:$P,13,FALSE)</f>
        <v>R.TOPMN_TPL0074_PIQ0015LGYLGY</v>
      </c>
    </row>
    <row r="230" spans="1:7" x14ac:dyDescent="0.25">
      <c r="A230" s="6" t="s">
        <v>111</v>
      </c>
      <c r="B230" s="7" t="s">
        <v>413</v>
      </c>
      <c r="C230" s="15" t="s">
        <v>417</v>
      </c>
      <c r="D230" s="9" t="str">
        <f>+VLOOKUP($C230,'[1]CODE GENERATOR'!$D:$J,6,FALSE)</f>
        <v>DARK GRAY</v>
      </c>
      <c r="E230" s="9" t="str">
        <f>+VLOOKUP($C230,'[1]CODE GENERATOR'!$D:$J,7,FALSE)</f>
        <v>DARK GRAY</v>
      </c>
      <c r="F230" s="8" t="str">
        <f>+VLOOKUP(C230,'[1]CODE GENERATOR'!$D:$P,13,FALSE)</f>
        <v>R.TOPMN_TPL0074_PIQ0015DGYDGY</v>
      </c>
    </row>
    <row r="231" spans="1:7" x14ac:dyDescent="0.25">
      <c r="A231" s="6" t="s">
        <v>111</v>
      </c>
      <c r="B231" s="7" t="s">
        <v>413</v>
      </c>
      <c r="C231" s="15" t="s">
        <v>418</v>
      </c>
      <c r="D231" s="9" t="str">
        <f>+VLOOKUP($C231,'[1]CODE GENERATOR'!$D:$J,6,FALSE)</f>
        <v>DARK BLUE</v>
      </c>
      <c r="E231" s="9" t="str">
        <f>+VLOOKUP($C231,'[1]CODE GENERATOR'!$D:$J,7,FALSE)</f>
        <v>DARK BLUE</v>
      </c>
      <c r="F231" s="8" t="str">
        <f>+VLOOKUP(C231,'[1]CODE GENERATOR'!$D:$P,13,FALSE)</f>
        <v>R.TOPMN_TPL0074_PIQ0015DBLDBL</v>
      </c>
    </row>
    <row r="232" spans="1:7" x14ac:dyDescent="0.25">
      <c r="A232" s="6" t="s">
        <v>112</v>
      </c>
      <c r="B232" s="7" t="s">
        <v>419</v>
      </c>
      <c r="C232" s="15" t="s">
        <v>420</v>
      </c>
      <c r="D232" s="9" t="str">
        <f>+VLOOKUP($C232,'[1]CODE GENERATOR'!$D:$J,6,FALSE)</f>
        <v>WHITE</v>
      </c>
      <c r="E232" s="9" t="str">
        <f>+VLOOKUP($C232,'[1]CODE GENERATOR'!$D:$J,7,FALSE)</f>
        <v>WHITE</v>
      </c>
      <c r="F232" s="8" t="str">
        <f>+VLOOKUP(C232,'[1]CODE GENERATOR'!$D:$P,13,FALSE)</f>
        <v>R.TOPWN_TPL0075_PIQ0015WHTWHT</v>
      </c>
    </row>
    <row r="233" spans="1:7" x14ac:dyDescent="0.25">
      <c r="A233" s="6" t="s">
        <v>112</v>
      </c>
      <c r="B233" s="7" t="s">
        <v>419</v>
      </c>
      <c r="C233" s="15" t="s">
        <v>421</v>
      </c>
      <c r="D233" s="9" t="str">
        <f>+VLOOKUP($C233,'[1]CODE GENERATOR'!$D:$J,6,FALSE)</f>
        <v>NAVY</v>
      </c>
      <c r="E233" s="9" t="str">
        <f>+VLOOKUP($C233,'[1]CODE GENERATOR'!$D:$J,7,FALSE)</f>
        <v>NAVY</v>
      </c>
      <c r="F233" s="8" t="str">
        <f>+VLOOKUP(C233,'[1]CODE GENERATOR'!$D:$P,13,FALSE)</f>
        <v>R.TOPWN_TPL0075_PIQ0015NAVNAV</v>
      </c>
    </row>
    <row r="234" spans="1:7" x14ac:dyDescent="0.25">
      <c r="A234" s="6" t="s">
        <v>112</v>
      </c>
      <c r="B234" s="7" t="s">
        <v>419</v>
      </c>
      <c r="C234" s="15" t="s">
        <v>422</v>
      </c>
      <c r="D234" s="9" t="str">
        <f>+VLOOKUP($C234,'[1]CODE GENERATOR'!$D:$J,6,FALSE)</f>
        <v>BLACK</v>
      </c>
      <c r="E234" s="9" t="str">
        <f>+VLOOKUP($C234,'[1]CODE GENERATOR'!$D:$J,7,FALSE)</f>
        <v>BLACK</v>
      </c>
      <c r="F234" s="8" t="str">
        <f>+VLOOKUP(C234,'[1]CODE GENERATOR'!$D:$P,13,FALSE)</f>
        <v>R.TOPWN_TPL0075_PIQ0015BLKBLK</v>
      </c>
    </row>
    <row r="235" spans="1:7" x14ac:dyDescent="0.25">
      <c r="A235" s="6" t="s">
        <v>112</v>
      </c>
      <c r="B235" s="7" t="s">
        <v>419</v>
      </c>
      <c r="C235" s="15" t="s">
        <v>423</v>
      </c>
      <c r="D235" s="9" t="str">
        <f>+VLOOKUP($C235,'[1]CODE GENERATOR'!$D:$J,6,FALSE)</f>
        <v>LILAC</v>
      </c>
      <c r="E235" s="9" t="str">
        <f>+VLOOKUP($C235,'[1]CODE GENERATOR'!$D:$J,7,FALSE)</f>
        <v>LILAC</v>
      </c>
      <c r="F235" s="8" t="str">
        <f>+VLOOKUP(C235,'[1]CODE GENERATOR'!$D:$P,13,FALSE)</f>
        <v>R.TOPWN_TPL0075_PIQ0015LILLIL</v>
      </c>
    </row>
    <row r="236" spans="1:7" x14ac:dyDescent="0.25">
      <c r="A236" s="6" t="s">
        <v>112</v>
      </c>
      <c r="B236" s="7" t="s">
        <v>419</v>
      </c>
      <c r="C236" s="15" t="s">
        <v>424</v>
      </c>
      <c r="D236" s="9" t="str">
        <f>+VLOOKUP($C236,'[1]CODE GENERATOR'!$D:$J,6,FALSE)</f>
        <v>DARK GRAY</v>
      </c>
      <c r="E236" s="9" t="str">
        <f>+VLOOKUP($C236,'[1]CODE GENERATOR'!$D:$J,7,FALSE)</f>
        <v>DARK GRAY</v>
      </c>
      <c r="F236" s="8" t="str">
        <f>+VLOOKUP(C236,'[1]CODE GENERATOR'!$D:$P,13,FALSE)</f>
        <v>R.TOPWN_TPL0075_PIQ0015DGYDGY</v>
      </c>
    </row>
    <row r="237" spans="1:7" x14ac:dyDescent="0.25">
      <c r="A237" s="6" t="s">
        <v>101</v>
      </c>
      <c r="B237" s="7" t="s">
        <v>373</v>
      </c>
      <c r="C237" s="15" t="s">
        <v>425</v>
      </c>
      <c r="D237" s="9" t="str">
        <f>+VLOOKUP($C237,'[1]CODE GENERATOR'!$D:$J,6,FALSE)</f>
        <v>WHITE</v>
      </c>
      <c r="E237" s="9" t="str">
        <f>+VLOOKUP($C237,'[1]CODE GENERATOR'!$D:$J,7,FALSE)</f>
        <v>WHITE</v>
      </c>
      <c r="F237" s="8" t="str">
        <f>+VLOOKUP(C237,'[1]CODE GENERATOR'!$D:$P,13,FALSE)</f>
        <v>R.TOPWN_TTS0076_SUP0030WHTWHT</v>
      </c>
      <c r="G237" s="1" t="s">
        <v>0</v>
      </c>
    </row>
    <row r="238" spans="1:7" x14ac:dyDescent="0.25">
      <c r="A238" s="6" t="s">
        <v>101</v>
      </c>
      <c r="B238" s="7" t="s">
        <v>373</v>
      </c>
      <c r="C238" s="15" t="s">
        <v>426</v>
      </c>
      <c r="D238" s="9" t="str">
        <f>+VLOOKUP($C238,'[1]CODE GENERATOR'!$D:$J,6,FALSE)</f>
        <v>ECRU</v>
      </c>
      <c r="E238" s="9" t="str">
        <f>+VLOOKUP($C238,'[1]CODE GENERATOR'!$D:$J,7,FALSE)</f>
        <v>ECRU</v>
      </c>
      <c r="F238" s="8" t="str">
        <f>+VLOOKUP(C238,'[1]CODE GENERATOR'!$D:$P,13,FALSE)</f>
        <v>R.TOPWN_TTS0076_SUP0030ECRECR</v>
      </c>
      <c r="G238" s="1" t="s">
        <v>0</v>
      </c>
    </row>
    <row r="239" spans="1:7" x14ac:dyDescent="0.25">
      <c r="A239" s="6" t="s">
        <v>101</v>
      </c>
      <c r="B239" s="7" t="s">
        <v>373</v>
      </c>
      <c r="C239" s="15" t="s">
        <v>427</v>
      </c>
      <c r="D239" s="9" t="str">
        <f>+VLOOKUP($C239,'[1]CODE GENERATOR'!$D:$J,6,FALSE)</f>
        <v>ROSE</v>
      </c>
      <c r="E239" s="9" t="str">
        <f>+VLOOKUP($C239,'[1]CODE GENERATOR'!$D:$J,7,FALSE)</f>
        <v>ROSE</v>
      </c>
      <c r="F239" s="8" t="str">
        <f>+VLOOKUP(C239,'[1]CODE GENERATOR'!$D:$P,13,FALSE)</f>
        <v>R.TOPWN_TTS0076_SUP0030ROZROZ</v>
      </c>
      <c r="G239" s="1" t="s">
        <v>0</v>
      </c>
    </row>
    <row r="240" spans="1:7" x14ac:dyDescent="0.25">
      <c r="A240" s="6" t="s">
        <v>101</v>
      </c>
      <c r="B240" s="7" t="s">
        <v>373</v>
      </c>
      <c r="C240" s="15" t="s">
        <v>428</v>
      </c>
      <c r="D240" s="9" t="str">
        <f>+VLOOKUP($C240,'[1]CODE GENERATOR'!$D:$J,6,FALSE)</f>
        <v>MINK</v>
      </c>
      <c r="E240" s="9" t="str">
        <f>+VLOOKUP($C240,'[1]CODE GENERATOR'!$D:$J,7,FALSE)</f>
        <v>MINK</v>
      </c>
      <c r="F240" s="8" t="str">
        <f>+VLOOKUP(C240,'[1]CODE GENERATOR'!$D:$P,13,FALSE)</f>
        <v>R.TOPWN_TTS0076_SUP0030MNKMNK</v>
      </c>
      <c r="G240" s="1" t="s">
        <v>0</v>
      </c>
    </row>
    <row r="241" spans="1:7" x14ac:dyDescent="0.25">
      <c r="A241" s="6" t="s">
        <v>101</v>
      </c>
      <c r="B241" s="7" t="s">
        <v>373</v>
      </c>
      <c r="C241" s="15" t="s">
        <v>429</v>
      </c>
      <c r="D241" s="9" t="str">
        <f>+VLOOKUP($C241,'[1]CODE GENERATOR'!$D:$J,6,FALSE)</f>
        <v>LIGHT GRAY</v>
      </c>
      <c r="E241" s="9" t="str">
        <f>+VLOOKUP($C241,'[1]CODE GENERATOR'!$D:$J,7,FALSE)</f>
        <v>LIGHT GRAY</v>
      </c>
      <c r="F241" s="8" t="str">
        <f>+VLOOKUP(C241,'[1]CODE GENERATOR'!$D:$P,13,FALSE)</f>
        <v>R.TOPWN_TTS0076_SUP0030LGYLGY</v>
      </c>
      <c r="G241" s="1" t="s">
        <v>0</v>
      </c>
    </row>
    <row r="242" spans="1:7" x14ac:dyDescent="0.25">
      <c r="A242" s="6" t="s">
        <v>101</v>
      </c>
      <c r="B242" s="7" t="s">
        <v>373</v>
      </c>
      <c r="C242" s="15" t="s">
        <v>430</v>
      </c>
      <c r="D242" s="9" t="str">
        <f>+VLOOKUP($C242,'[1]CODE GENERATOR'!$D:$J,6,FALSE)</f>
        <v>ANTHRA</v>
      </c>
      <c r="E242" s="9" t="str">
        <f>+VLOOKUP($C242,'[1]CODE GENERATOR'!$D:$J,7,FALSE)</f>
        <v>ANTHRA</v>
      </c>
      <c r="F242" s="8" t="str">
        <f>+VLOOKUP(C242,'[1]CODE GENERATOR'!$D:$P,13,FALSE)</f>
        <v>R.TOPWN_TTS0076_SUP0030ANTANT</v>
      </c>
      <c r="G242" s="1" t="s">
        <v>0</v>
      </c>
    </row>
    <row r="243" spans="1:7" x14ac:dyDescent="0.25">
      <c r="A243" s="6" t="s">
        <v>101</v>
      </c>
      <c r="B243" s="7" t="s">
        <v>373</v>
      </c>
      <c r="C243" s="15" t="s">
        <v>431</v>
      </c>
      <c r="D243" s="9" t="str">
        <f>+VLOOKUP($C243,'[1]CODE GENERATOR'!$D:$J,6,FALSE)</f>
        <v>BLACK</v>
      </c>
      <c r="E243" s="9" t="str">
        <f>+VLOOKUP($C243,'[1]CODE GENERATOR'!$D:$J,7,FALSE)</f>
        <v>BLACK</v>
      </c>
      <c r="F243" s="8" t="str">
        <f>+VLOOKUP(C243,'[1]CODE GENERATOR'!$D:$P,13,FALSE)</f>
        <v>R.TOPWN_TTS0076_SUP0030BLKBLK</v>
      </c>
      <c r="G243" s="1" t="s">
        <v>0</v>
      </c>
    </row>
    <row r="244" spans="1:7" x14ac:dyDescent="0.25">
      <c r="A244" s="6" t="s">
        <v>113</v>
      </c>
      <c r="B244" s="7" t="s">
        <v>297</v>
      </c>
      <c r="C244" s="15" t="s">
        <v>432</v>
      </c>
      <c r="D244" s="9" t="str">
        <f>+VLOOKUP($C244,'[1]CODE GENERATOR'!$D:$J,6,FALSE)</f>
        <v>WHITE</v>
      </c>
      <c r="E244" s="9" t="str">
        <f>+VLOOKUP($C244,'[1]CODE GENERATOR'!$D:$J,7,FALSE)</f>
        <v>WHITE</v>
      </c>
      <c r="F244" s="8" t="str">
        <f>+VLOOKUP(C244,'[1]CODE GENERATOR'!$D:$P,13,FALSE)</f>
        <v>R.TOPWN_CPL0077_PIQ0015WHTWHT</v>
      </c>
      <c r="G244" s="1" t="s">
        <v>0</v>
      </c>
    </row>
    <row r="245" spans="1:7" x14ac:dyDescent="0.25">
      <c r="A245" s="6" t="s">
        <v>113</v>
      </c>
      <c r="B245" s="7" t="s">
        <v>297</v>
      </c>
      <c r="C245" s="15" t="s">
        <v>433</v>
      </c>
      <c r="D245" s="9" t="str">
        <f>+VLOOKUP($C245,'[1]CODE GENERATOR'!$D:$J,6,FALSE)</f>
        <v>NAVY</v>
      </c>
      <c r="E245" s="9" t="str">
        <f>+VLOOKUP($C245,'[1]CODE GENERATOR'!$D:$J,7,FALSE)</f>
        <v>NAVY</v>
      </c>
      <c r="F245" s="8" t="str">
        <f>+VLOOKUP(C245,'[1]CODE GENERATOR'!$D:$P,13,FALSE)</f>
        <v>R.TOPWN_CPL0077_PIQ0015NAVNAV</v>
      </c>
      <c r="G245" s="1" t="s">
        <v>0</v>
      </c>
    </row>
    <row r="246" spans="1:7" x14ac:dyDescent="0.25">
      <c r="A246" s="6" t="s">
        <v>114</v>
      </c>
      <c r="B246" s="7" t="s">
        <v>297</v>
      </c>
      <c r="C246" s="15" t="s">
        <v>434</v>
      </c>
      <c r="D246" s="9" t="str">
        <f>+VLOOKUP($C246,'[1]CODE GENERATOR'!$D:$J,6,FALSE)</f>
        <v>WHITE</v>
      </c>
      <c r="E246" s="9" t="str">
        <f>+VLOOKUP($C246,'[1]CODE GENERATOR'!$D:$J,7,FALSE)</f>
        <v>WHITE</v>
      </c>
      <c r="F246" s="8" t="str">
        <f>+VLOOKUP(C246,'[1]CODE GENERATOR'!$D:$P,13,FALSE)</f>
        <v>R.TOPWN_CPL0078_PIQ0015WHTWHT</v>
      </c>
      <c r="G246" s="1" t="s">
        <v>0</v>
      </c>
    </row>
    <row r="247" spans="1:7" x14ac:dyDescent="0.25">
      <c r="A247" s="6" t="s">
        <v>114</v>
      </c>
      <c r="B247" s="7" t="s">
        <v>297</v>
      </c>
      <c r="C247" s="15" t="s">
        <v>435</v>
      </c>
      <c r="D247" s="9" t="str">
        <f>+VLOOKUP($C247,'[1]CODE GENERATOR'!$D:$J,6,FALSE)</f>
        <v>TAUPE</v>
      </c>
      <c r="E247" s="9" t="str">
        <f>+VLOOKUP($C247,'[1]CODE GENERATOR'!$D:$J,7,FALSE)</f>
        <v>TAUPE</v>
      </c>
      <c r="F247" s="8" t="str">
        <f>+VLOOKUP(C247,'[1]CODE GENERATOR'!$D:$P,13,FALSE)</f>
        <v>R.TOPWN_CPL0078_PIQ0015TAUTAU</v>
      </c>
      <c r="G247" s="1" t="s">
        <v>0</v>
      </c>
    </row>
    <row r="248" spans="1:7" x14ac:dyDescent="0.25">
      <c r="A248" s="6" t="s">
        <v>115</v>
      </c>
      <c r="B248" s="7" t="s">
        <v>271</v>
      </c>
      <c r="C248" s="15" t="s">
        <v>436</v>
      </c>
      <c r="D248" s="9" t="str">
        <f>+VLOOKUP($C248,'[1]CODE GENERATOR'!$D:$J,6,FALSE)</f>
        <v>PINK</v>
      </c>
      <c r="E248" s="9" t="str">
        <f>+VLOOKUP($C248,'[1]CODE GENERATOR'!$D:$J,7,FALSE)</f>
        <v>PINK</v>
      </c>
      <c r="F248" s="8" t="str">
        <f>+VLOOKUP(C248,'[1]CODE GENERATOR'!$D:$P,13,FALSE)</f>
        <v>R.TOPKG_CPL0079_SUP0016PNKPNK</v>
      </c>
    </row>
    <row r="249" spans="1:7" x14ac:dyDescent="0.25">
      <c r="A249" s="6" t="s">
        <v>116</v>
      </c>
      <c r="B249" s="7" t="s">
        <v>271</v>
      </c>
      <c r="C249" s="15" t="s">
        <v>437</v>
      </c>
      <c r="D249" s="9" t="str">
        <f>+VLOOKUP($C249,'[1]CODE GENERATOR'!$D:$J,6,FALSE)</f>
        <v>MINT</v>
      </c>
      <c r="E249" s="9" t="str">
        <f>+VLOOKUP($C249,'[1]CODE GENERATOR'!$D:$J,7,FALSE)</f>
        <v>MINT</v>
      </c>
      <c r="F249" s="8" t="str">
        <f>+VLOOKUP(C249,'[1]CODE GENERATOR'!$D:$P,13,FALSE)</f>
        <v>R.TOPKG_CPL0080_SUP0016MNTMNT</v>
      </c>
    </row>
    <row r="250" spans="1:7" x14ac:dyDescent="0.25">
      <c r="A250" s="6" t="s">
        <v>117</v>
      </c>
      <c r="B250" s="7" t="s">
        <v>438</v>
      </c>
      <c r="C250" s="15" t="s">
        <v>439</v>
      </c>
      <c r="D250" s="9" t="str">
        <f>+VLOOKUP($C250,'[1]CODE GENERATOR'!$D:$J,6,FALSE)</f>
        <v>TURQUOISE</v>
      </c>
      <c r="E250" s="9" t="str">
        <f>+VLOOKUP($C250,'[1]CODE GENERATOR'!$D:$J,7,FALSE)</f>
        <v>TURQUOISE</v>
      </c>
      <c r="F250" s="8" t="str">
        <f>+VLOOKUP(C250,'[1]CODE GENERATOR'!$D:$P,13,FALSE)</f>
        <v>R.TOPKB_TPL0081_PIQ0015TURTUR</v>
      </c>
    </row>
    <row r="251" spans="1:7" x14ac:dyDescent="0.25">
      <c r="A251" s="6" t="s">
        <v>117</v>
      </c>
      <c r="B251" s="7" t="s">
        <v>438</v>
      </c>
      <c r="C251" s="15" t="s">
        <v>440</v>
      </c>
      <c r="D251" s="9" t="str">
        <f>+VLOOKUP($C251,'[1]CODE GENERATOR'!$D:$J,6,FALSE)</f>
        <v>NAVY</v>
      </c>
      <c r="E251" s="9" t="str">
        <f>+VLOOKUP($C251,'[1]CODE GENERATOR'!$D:$J,7,FALSE)</f>
        <v>NAVY</v>
      </c>
      <c r="F251" s="8" t="str">
        <f>+VLOOKUP(C251,'[1]CODE GENERATOR'!$D:$P,13,FALSE)</f>
        <v>R.TOPKB_TPL0081_PIQ0015NAVNAV</v>
      </c>
    </row>
    <row r="252" spans="1:7" x14ac:dyDescent="0.25">
      <c r="A252" s="6" t="s">
        <v>118</v>
      </c>
      <c r="B252" s="7" t="s">
        <v>441</v>
      </c>
      <c r="C252" s="15" t="s">
        <v>442</v>
      </c>
      <c r="D252" s="9" t="str">
        <f>+VLOOKUP($C252,'[1]CODE GENERATOR'!$D:$J,6,FALSE)</f>
        <v>NAVY</v>
      </c>
      <c r="E252" s="9" t="str">
        <f>+VLOOKUP($C252,'[1]CODE GENERATOR'!$D:$J,7,FALSE)</f>
        <v>NAVY</v>
      </c>
      <c r="F252" s="8" t="str">
        <f>+VLOOKUP(C252,'[1]CODE GENERATOR'!$D:$P,13,FALSE)</f>
        <v>R.TOPKG_TPL0082_PIQ0015NAVNAV</v>
      </c>
    </row>
    <row r="253" spans="1:7" x14ac:dyDescent="0.25">
      <c r="A253" s="6" t="s">
        <v>118</v>
      </c>
      <c r="B253" s="7" t="s">
        <v>441</v>
      </c>
      <c r="C253" s="15" t="s">
        <v>443</v>
      </c>
      <c r="D253" s="9" t="str">
        <f>+VLOOKUP($C253,'[1]CODE GENERATOR'!$D:$J,6,FALSE)</f>
        <v>PINK</v>
      </c>
      <c r="E253" s="9" t="str">
        <f>+VLOOKUP($C253,'[1]CODE GENERATOR'!$D:$J,7,FALSE)</f>
        <v>PINK</v>
      </c>
      <c r="F253" s="8" t="str">
        <f>+VLOOKUP(C253,'[1]CODE GENERATOR'!$D:$P,13,FALSE)</f>
        <v>R.TOPKG_TPL0082_PIQ0015PNKPNK</v>
      </c>
    </row>
    <row r="254" spans="1:7" x14ac:dyDescent="0.25">
      <c r="A254" s="6" t="s">
        <v>119</v>
      </c>
      <c r="B254" s="7" t="s">
        <v>444</v>
      </c>
      <c r="C254" s="15" t="s">
        <v>445</v>
      </c>
      <c r="D254" s="9" t="str">
        <f>+VLOOKUP($C254,'[1]CODE GENERATOR'!$D:$J,6,FALSE)</f>
        <v>WHITE</v>
      </c>
      <c r="E254" s="9" t="str">
        <f>+VLOOKUP($C254,'[1]CODE GENERATOR'!$D:$J,7,FALSE)</f>
        <v>WHITE</v>
      </c>
      <c r="F254" s="8" t="str">
        <f>+VLOOKUP(C254,'[1]CODE GENERATOR'!$D:$P,13,FALSE)</f>
        <v>A.RACMN_TIE0083_KNT0000WHTWHT</v>
      </c>
    </row>
    <row r="255" spans="1:7" x14ac:dyDescent="0.25">
      <c r="A255" s="6" t="s">
        <v>120</v>
      </c>
      <c r="B255" s="7" t="s">
        <v>446</v>
      </c>
      <c r="C255" s="15" t="s">
        <v>447</v>
      </c>
      <c r="D255" s="9" t="str">
        <f>+VLOOKUP($C255,'[1]CODE GENERATOR'!$D:$J,6,FALSE)</f>
        <v>BLACK</v>
      </c>
      <c r="E255" s="9" t="str">
        <f>+VLOOKUP($C255,'[1]CODE GENERATOR'!$D:$J,7,FALSE)</f>
        <v>BLACK</v>
      </c>
      <c r="F255" s="8" t="str">
        <f>+VLOOKUP(C255,'[1]CODE GENERATOR'!$D:$P,13,FALSE)</f>
        <v>H.FLYFL_EAR0084_TJR0031BLKBLK</v>
      </c>
    </row>
    <row r="256" spans="1:7" x14ac:dyDescent="0.25">
      <c r="A256" s="6" t="s">
        <v>120</v>
      </c>
      <c r="B256" s="7" t="s">
        <v>446</v>
      </c>
      <c r="C256" s="15" t="s">
        <v>448</v>
      </c>
      <c r="D256" s="9" t="str">
        <f>+VLOOKUP($C256,'[1]CODE GENERATOR'!$D:$J,6,FALSE)</f>
        <v>NAVY</v>
      </c>
      <c r="E256" s="9" t="str">
        <f>+VLOOKUP($C256,'[1]CODE GENERATOR'!$D:$J,7,FALSE)</f>
        <v>NAVY</v>
      </c>
      <c r="F256" s="8" t="str">
        <f>+VLOOKUP(C256,'[1]CODE GENERATOR'!$D:$P,13,FALSE)</f>
        <v>H.FLYFL_EAR0084_TJR0031NAVNAV</v>
      </c>
    </row>
    <row r="257" spans="1:6" x14ac:dyDescent="0.25">
      <c r="A257" s="6" t="s">
        <v>121</v>
      </c>
      <c r="B257" s="7" t="s">
        <v>446</v>
      </c>
      <c r="C257" s="15" t="s">
        <v>449</v>
      </c>
      <c r="D257" s="9" t="str">
        <f>+VLOOKUP($C257,'[1]CODE GENERATOR'!$D:$J,6,FALSE)</f>
        <v>BLACK</v>
      </c>
      <c r="E257" s="9" t="str">
        <f>+VLOOKUP($C257,'[1]CODE GENERATOR'!$D:$J,7,FALSE)</f>
        <v>BLACK</v>
      </c>
      <c r="F257" s="8" t="str">
        <f>+VLOOKUP(C257,'[1]CODE GENERATOR'!$D:$P,13,FALSE)</f>
        <v>H.FLYPN_EAR0085_TJR0031BLKBLK</v>
      </c>
    </row>
    <row r="258" spans="1:6" x14ac:dyDescent="0.25">
      <c r="A258" s="6" t="s">
        <v>121</v>
      </c>
      <c r="B258" s="7" t="s">
        <v>446</v>
      </c>
      <c r="C258" s="15" t="s">
        <v>450</v>
      </c>
      <c r="D258" s="9" t="str">
        <f>+VLOOKUP($C258,'[1]CODE GENERATOR'!$D:$J,6,FALSE)</f>
        <v>NAVY</v>
      </c>
      <c r="E258" s="9" t="str">
        <f>+VLOOKUP($C258,'[1]CODE GENERATOR'!$D:$J,7,FALSE)</f>
        <v>NAVY</v>
      </c>
      <c r="F258" s="8" t="str">
        <f>+VLOOKUP(C258,'[1]CODE GENERATOR'!$D:$P,13,FALSE)</f>
        <v>H.FLYPN_EAR0085_TJR0031NAVNAV</v>
      </c>
    </row>
    <row r="259" spans="1:6" x14ac:dyDescent="0.25">
      <c r="A259" s="6" t="s">
        <v>122</v>
      </c>
      <c r="B259" s="7" t="s">
        <v>139</v>
      </c>
      <c r="C259" s="15" t="s">
        <v>451</v>
      </c>
      <c r="D259" s="9" t="str">
        <f>+VLOOKUP($C259,'[1]CODE GENERATOR'!$D:$J,6,FALSE)</f>
        <v>NAVY</v>
      </c>
      <c r="E259" s="9" t="str">
        <f>+VLOOKUP($C259,'[1]CODE GENERATOR'!$D:$J,7,FALSE)</f>
        <v>GOLD</v>
      </c>
      <c r="F259" s="8" t="str">
        <f>+VLOOKUP(C259,'[1]CODE GENERATOR'!$D:$P,13,FALSE)</f>
        <v>H.RUGPN_FLC0086_FLC0001NAVGLD</v>
      </c>
    </row>
    <row r="260" spans="1:6" x14ac:dyDescent="0.25">
      <c r="A260" s="6" t="s">
        <v>122</v>
      </c>
      <c r="B260" s="7" t="s">
        <v>139</v>
      </c>
      <c r="C260" s="15" t="s">
        <v>452</v>
      </c>
      <c r="D260" s="9" t="str">
        <f>+VLOOKUP($C260,'[1]CODE GENERATOR'!$D:$J,6,FALSE)</f>
        <v>PURPLE</v>
      </c>
      <c r="E260" s="9" t="str">
        <f>+VLOOKUP($C260,'[1]CODE GENERATOR'!$D:$J,7,FALSE)</f>
        <v>GOLD</v>
      </c>
      <c r="F260" s="8" t="str">
        <f>+VLOOKUP(C260,'[1]CODE GENERATOR'!$D:$P,13,FALSE)</f>
        <v>H.RUGPN_FLC0086_FLC0001PURGLD</v>
      </c>
    </row>
    <row r="261" spans="1:6" x14ac:dyDescent="0.25">
      <c r="A261" s="6" t="s">
        <v>122</v>
      </c>
      <c r="B261" s="7" t="s">
        <v>139</v>
      </c>
      <c r="C261" s="15" t="s">
        <v>453</v>
      </c>
      <c r="D261" s="9" t="str">
        <f>+VLOOKUP($C261,'[1]CODE GENERATOR'!$D:$J,6,FALSE)</f>
        <v>GREEN</v>
      </c>
      <c r="E261" s="9" t="str">
        <f>+VLOOKUP($C261,'[1]CODE GENERATOR'!$D:$J,7,FALSE)</f>
        <v>NAVY</v>
      </c>
      <c r="F261" s="8" t="str">
        <f>+VLOOKUP(C261,'[1]CODE GENERATOR'!$D:$P,13,FALSE)</f>
        <v>H.RUGPN_FLC0086_FLC0001GRNNAV</v>
      </c>
    </row>
    <row r="262" spans="1:6" x14ac:dyDescent="0.25">
      <c r="A262" s="6" t="s">
        <v>122</v>
      </c>
      <c r="B262" s="7" t="s">
        <v>139</v>
      </c>
      <c r="C262" s="15" t="s">
        <v>454</v>
      </c>
      <c r="D262" s="9" t="str">
        <f>+VLOOKUP($C262,'[1]CODE GENERATOR'!$D:$J,6,FALSE)</f>
        <v>BLACK</v>
      </c>
      <c r="E262" s="9" t="str">
        <f>+VLOOKUP($C262,'[1]CODE GENERATOR'!$D:$J,7,FALSE)</f>
        <v>ROSE GOLD</v>
      </c>
      <c r="F262" s="8" t="str">
        <f>+VLOOKUP(C262,'[1]CODE GENERATOR'!$D:$P,13,FALSE)</f>
        <v>H.RUGPN_FLC0086_FLC0001BLKRGL</v>
      </c>
    </row>
    <row r="263" spans="1:6" x14ac:dyDescent="0.25">
      <c r="A263" s="6" t="s">
        <v>122</v>
      </c>
      <c r="B263" s="7" t="s">
        <v>139</v>
      </c>
      <c r="C263" s="15" t="s">
        <v>455</v>
      </c>
      <c r="D263" s="9" t="str">
        <f>+VLOOKUP($C263,'[1]CODE GENERATOR'!$D:$J,6,FALSE)</f>
        <v>RED</v>
      </c>
      <c r="E263" s="9" t="str">
        <f>+VLOOKUP($C263,'[1]CODE GENERATOR'!$D:$J,7,FALSE)</f>
        <v>GOLD</v>
      </c>
      <c r="F263" s="8" t="str">
        <f>+VLOOKUP(C263,'[1]CODE GENERATOR'!$D:$P,13,FALSE)</f>
        <v>H.RUGPN_FLC0086_FLC0001REDGLD</v>
      </c>
    </row>
    <row r="264" spans="1:6" x14ac:dyDescent="0.25">
      <c r="A264" s="6" t="s">
        <v>122</v>
      </c>
      <c r="B264" s="7" t="s">
        <v>139</v>
      </c>
      <c r="C264" s="15" t="s">
        <v>456</v>
      </c>
      <c r="D264" s="9" t="str">
        <f>+VLOOKUP($C264,'[1]CODE GENERATOR'!$D:$J,6,FALSE)</f>
        <v>BORDEAUX</v>
      </c>
      <c r="E264" s="9" t="str">
        <f>+VLOOKUP($C264,'[1]CODE GENERATOR'!$D:$J,7,FALSE)</f>
        <v>GOLD</v>
      </c>
      <c r="F264" s="8" t="str">
        <f>+VLOOKUP(C264,'[1]CODE GENERATOR'!$D:$P,13,FALSE)</f>
        <v>H.RUGPN_FLC0086_FLC0001BORGLD</v>
      </c>
    </row>
    <row r="265" spans="1:6" x14ac:dyDescent="0.25">
      <c r="A265" s="6" t="s">
        <v>122</v>
      </c>
      <c r="B265" s="7" t="s">
        <v>139</v>
      </c>
      <c r="C265" s="15" t="s">
        <v>457</v>
      </c>
      <c r="D265" s="9" t="str">
        <f>+VLOOKUP($C265,'[1]CODE GENERATOR'!$D:$J,6,FALSE)</f>
        <v>LILAC</v>
      </c>
      <c r="E265" s="9" t="str">
        <f>+VLOOKUP($C265,'[1]CODE GENERATOR'!$D:$J,7,FALSE)</f>
        <v>WHITE</v>
      </c>
      <c r="F265" s="8" t="str">
        <f>+VLOOKUP(C265,'[1]CODE GENERATOR'!$D:$P,13,FALSE)</f>
        <v>H.RUGPN_FLC0086_FLC0001LILWHT</v>
      </c>
    </row>
    <row r="266" spans="1:6" x14ac:dyDescent="0.25">
      <c r="A266" s="6" t="s">
        <v>122</v>
      </c>
      <c r="B266" s="7" t="s">
        <v>139</v>
      </c>
      <c r="C266" s="15" t="s">
        <v>458</v>
      </c>
      <c r="D266" s="9" t="str">
        <f>+VLOOKUP($C266,'[1]CODE GENERATOR'!$D:$J,6,FALSE)</f>
        <v>BLACK</v>
      </c>
      <c r="E266" s="9" t="str">
        <f>+VLOOKUP($C266,'[1]CODE GENERATOR'!$D:$J,7,FALSE)</f>
        <v>GOLD</v>
      </c>
      <c r="F266" s="8" t="str">
        <f>+VLOOKUP(C266,'[1]CODE GENERATOR'!$D:$P,13,FALSE)</f>
        <v>H.RUGPN_FLC0086_FLC0001BLKGLD</v>
      </c>
    </row>
    <row r="267" spans="1:6" x14ac:dyDescent="0.25">
      <c r="A267" s="6" t="s">
        <v>122</v>
      </c>
      <c r="B267" s="7" t="s">
        <v>139</v>
      </c>
      <c r="C267" s="15" t="s">
        <v>459</v>
      </c>
      <c r="D267" s="9" t="str">
        <f>+VLOOKUP($C267,'[1]CODE GENERATOR'!$D:$J,6,FALSE)</f>
        <v>NAVY</v>
      </c>
      <c r="E267" s="9" t="str">
        <f>+VLOOKUP($C267,'[1]CODE GENERATOR'!$D:$J,7,FALSE)</f>
        <v>RED</v>
      </c>
      <c r="F267" s="8" t="str">
        <f>+VLOOKUP(C267,'[1]CODE GENERATOR'!$D:$P,13,FALSE)</f>
        <v>H.RUGPN_FLC0086_FLC0001NAVRED</v>
      </c>
    </row>
    <row r="268" spans="1:6" x14ac:dyDescent="0.25">
      <c r="A268" s="6" t="s">
        <v>122</v>
      </c>
      <c r="B268" s="7" t="s">
        <v>139</v>
      </c>
      <c r="C268" s="15" t="s">
        <v>460</v>
      </c>
      <c r="D268" s="9" t="str">
        <f>+VLOOKUP($C268,'[1]CODE GENERATOR'!$D:$J,6,FALSE)</f>
        <v>RED</v>
      </c>
      <c r="E268" s="9" t="str">
        <f>+VLOOKUP($C268,'[1]CODE GENERATOR'!$D:$J,7,FALSE)</f>
        <v>WHITE</v>
      </c>
      <c r="F268" s="8" t="str">
        <f>+VLOOKUP(C268,'[1]CODE GENERATOR'!$D:$P,13,FALSE)</f>
        <v>H.RUGPN_FLC0086_FLC0001REDWHT</v>
      </c>
    </row>
    <row r="269" spans="1:6" x14ac:dyDescent="0.25">
      <c r="A269" s="6" t="s">
        <v>123</v>
      </c>
      <c r="B269" s="7" t="s">
        <v>150</v>
      </c>
      <c r="C269" s="15" t="s">
        <v>461</v>
      </c>
      <c r="D269" s="9" t="str">
        <f>+VLOOKUP($C269,'[1]CODE GENERATOR'!$D:$J,6,FALSE)</f>
        <v>BROWN</v>
      </c>
      <c r="E269" s="9" t="str">
        <f>+VLOOKUP($C269,'[1]CODE GENERATOR'!$D:$J,7,FALSE)</f>
        <v>ROSE GOLD</v>
      </c>
      <c r="F269" s="8" t="str">
        <f>+VLOOKUP(C269,'[1]CODE GENERATOR'!$D:$P,13,FALSE)</f>
        <v>H.RUGPN_FLC0087_FLC0001BRWRGL</v>
      </c>
    </row>
    <row r="270" spans="1:6" x14ac:dyDescent="0.25">
      <c r="A270" s="6" t="s">
        <v>123</v>
      </c>
      <c r="B270" s="7" t="s">
        <v>150</v>
      </c>
      <c r="C270" s="15" t="s">
        <v>462</v>
      </c>
      <c r="D270" s="9" t="str">
        <f>+VLOOKUP($C270,'[1]CODE GENERATOR'!$D:$J,6,FALSE)</f>
        <v>ELECTRIC BLUE</v>
      </c>
      <c r="E270" s="9" t="str">
        <f>+VLOOKUP($C270,'[1]CODE GENERATOR'!$D:$J,7,FALSE)</f>
        <v>ORANGE</v>
      </c>
      <c r="F270" s="8" t="str">
        <f>+VLOOKUP(C270,'[1]CODE GENERATOR'!$D:$P,13,FALSE)</f>
        <v>H.RUGPN_FLC0087_FLC0001ELBORG</v>
      </c>
    </row>
    <row r="271" spans="1:6" x14ac:dyDescent="0.25">
      <c r="A271" s="6" t="s">
        <v>124</v>
      </c>
      <c r="B271" s="7" t="s">
        <v>153</v>
      </c>
      <c r="C271" s="15" t="s">
        <v>463</v>
      </c>
      <c r="D271" s="9" t="str">
        <f>+VLOOKUP($C271,'[1]CODE GENERATOR'!$D:$J,6,FALSE)</f>
        <v>MULTI-COLOR CHECK</v>
      </c>
      <c r="E271" s="9" t="str">
        <f>+VLOOKUP($C271,'[1]CODE GENERATOR'!$D:$J,7,FALSE)</f>
        <v>NAVY</v>
      </c>
      <c r="F271" s="8" t="str">
        <f>+VLOOKUP(C271,'[1]CODE GENERATOR'!$D:$P,13,FALSE)</f>
        <v>H.RUGPN_COO0088_KNT0002MTCNAV</v>
      </c>
    </row>
    <row r="272" spans="1:6" x14ac:dyDescent="0.25">
      <c r="A272" s="6" t="s">
        <v>125</v>
      </c>
      <c r="B272" s="7" t="s">
        <v>155</v>
      </c>
      <c r="C272" s="15" t="s">
        <v>464</v>
      </c>
      <c r="D272" s="9" t="str">
        <f>+VLOOKUP($C272,'[1]CODE GENERATOR'!$D:$J,6,FALSE)</f>
        <v>GREEN</v>
      </c>
      <c r="E272" s="9" t="str">
        <f>+VLOOKUP($C272,'[1]CODE GENERATOR'!$D:$J,7,FALSE)</f>
        <v>NAVY</v>
      </c>
      <c r="F272" s="8" t="str">
        <f>+VLOOKUP(C272,'[1]CODE GENERATOR'!$D:$P,13,FALSE)</f>
        <v>H.RUGPN_FLC0089_FLC0001GRNNAV</v>
      </c>
    </row>
    <row r="273" spans="1:6" x14ac:dyDescent="0.25">
      <c r="A273" s="6" t="s">
        <v>125</v>
      </c>
      <c r="B273" s="7" t="s">
        <v>155</v>
      </c>
      <c r="C273" s="15" t="s">
        <v>465</v>
      </c>
      <c r="D273" s="9" t="str">
        <f>+VLOOKUP($C273,'[1]CODE GENERATOR'!$D:$J,6,FALSE)</f>
        <v>NAVY</v>
      </c>
      <c r="E273" s="9" t="str">
        <f>+VLOOKUP($C273,'[1]CODE GENERATOR'!$D:$J,7,FALSE)</f>
        <v>BORDEAUX</v>
      </c>
      <c r="F273" s="8" t="str">
        <f>+VLOOKUP(C273,'[1]CODE GENERATOR'!$D:$P,13,FALSE)</f>
        <v>H.RUGPN_FLC0089_FLC0001NAVBOR</v>
      </c>
    </row>
    <row r="274" spans="1:6" x14ac:dyDescent="0.25">
      <c r="A274" s="6" t="s">
        <v>126</v>
      </c>
      <c r="B274" s="7" t="s">
        <v>158</v>
      </c>
      <c r="C274" s="15" t="s">
        <v>466</v>
      </c>
      <c r="D274" s="9" t="str">
        <f>+VLOOKUP($C274,'[1]CODE GENERATOR'!$D:$J,6,FALSE)</f>
        <v>BLACK</v>
      </c>
      <c r="E274" s="9" t="str">
        <f>+VLOOKUP($C274,'[1]CODE GENERATOR'!$D:$J,7,FALSE)</f>
        <v>BLACK</v>
      </c>
      <c r="F274" s="8" t="str">
        <f>+VLOOKUP(C274,'[1]CODE GENERATOR'!$D:$P,13,FALSE)</f>
        <v>H.RUGPN_STR0090_RPS0003BLKBLK</v>
      </c>
    </row>
    <row r="275" spans="1:6" x14ac:dyDescent="0.25">
      <c r="A275" s="6" t="s">
        <v>126</v>
      </c>
      <c r="B275" s="7" t="s">
        <v>158</v>
      </c>
      <c r="C275" s="15" t="s">
        <v>467</v>
      </c>
      <c r="D275" s="9" t="str">
        <f>+VLOOKUP($C275,'[1]CODE GENERATOR'!$D:$J,6,FALSE)</f>
        <v>NAVY</v>
      </c>
      <c r="E275" s="9" t="str">
        <f>+VLOOKUP($C275,'[1]CODE GENERATOR'!$D:$J,7,FALSE)</f>
        <v>NAVY</v>
      </c>
      <c r="F275" s="8" t="str">
        <f>+VLOOKUP(C275,'[1]CODE GENERATOR'!$D:$P,13,FALSE)</f>
        <v>H.RUGPN_STR0090_RPS0003NAVNAV</v>
      </c>
    </row>
    <row r="276" spans="1:6" x14ac:dyDescent="0.25">
      <c r="A276" s="6" t="s">
        <v>126</v>
      </c>
      <c r="B276" s="7" t="s">
        <v>158</v>
      </c>
      <c r="C276" s="15" t="s">
        <v>468</v>
      </c>
      <c r="D276" s="9" t="str">
        <f>+VLOOKUP($C276,'[1]CODE GENERATOR'!$D:$J,6,FALSE)</f>
        <v>BORDEAUX</v>
      </c>
      <c r="E276" s="9" t="str">
        <f>+VLOOKUP($C276,'[1]CODE GENERATOR'!$D:$J,7,FALSE)</f>
        <v>BORDEAUX</v>
      </c>
      <c r="F276" s="8" t="str">
        <f>+VLOOKUP(C276,'[1]CODE GENERATOR'!$D:$P,13,FALSE)</f>
        <v>H.RUGPN_STR0090_RPS0003BORBOR</v>
      </c>
    </row>
    <row r="277" spans="1:6" x14ac:dyDescent="0.25">
      <c r="A277" s="6" t="s">
        <v>126</v>
      </c>
      <c r="B277" s="7" t="s">
        <v>158</v>
      </c>
      <c r="C277" s="15" t="s">
        <v>469</v>
      </c>
      <c r="D277" s="9" t="str">
        <f>+VLOOKUP($C277,'[1]CODE GENERATOR'!$D:$J,6,FALSE)</f>
        <v>ELECTRIC BLUE</v>
      </c>
      <c r="E277" s="9" t="str">
        <f>+VLOOKUP($C277,'[1]CODE GENERATOR'!$D:$J,7,FALSE)</f>
        <v>ELECTRIC BLUE</v>
      </c>
      <c r="F277" s="8" t="str">
        <f>+VLOOKUP(C277,'[1]CODE GENERATOR'!$D:$P,13,FALSE)</f>
        <v>H.RUGPN_STR0090_RPS0003ELBELB</v>
      </c>
    </row>
    <row r="278" spans="1:6" x14ac:dyDescent="0.25">
      <c r="A278" s="6" t="s">
        <v>126</v>
      </c>
      <c r="B278" s="7" t="s">
        <v>158</v>
      </c>
      <c r="C278" s="15" t="s">
        <v>470</v>
      </c>
      <c r="D278" s="9" t="str">
        <f>+VLOOKUP($C278,'[1]CODE GENERATOR'!$D:$J,6,FALSE)</f>
        <v>GREEN</v>
      </c>
      <c r="E278" s="9" t="str">
        <f>+VLOOKUP($C278,'[1]CODE GENERATOR'!$D:$J,7,FALSE)</f>
        <v>GREEN</v>
      </c>
      <c r="F278" s="8" t="str">
        <f>+VLOOKUP(C278,'[1]CODE GENERATOR'!$D:$P,13,FALSE)</f>
        <v>H.RUGPN_STR0090_RPS0003GRNGRN</v>
      </c>
    </row>
    <row r="279" spans="1:6" x14ac:dyDescent="0.25">
      <c r="A279" s="6" t="s">
        <v>127</v>
      </c>
      <c r="B279" s="7" t="s">
        <v>164</v>
      </c>
      <c r="C279" s="15" t="s">
        <v>471</v>
      </c>
      <c r="D279" s="9" t="str">
        <f>+VLOOKUP($C279,'[1]CODE GENERATOR'!$D:$J,6,FALSE)</f>
        <v>LIGHT GRAY</v>
      </c>
      <c r="E279" s="9" t="str">
        <f>+VLOOKUP($C279,'[1]CODE GENERATOR'!$D:$J,7,FALSE)</f>
        <v>BORDEAUX</v>
      </c>
      <c r="F279" s="8" t="str">
        <f>+VLOOKUP(C279,'[1]CODE GENERATOR'!$D:$P,13,FALSE)</f>
        <v>H.FLYPN_FLS0091_MSH0004LGYBOR</v>
      </c>
    </row>
    <row r="280" spans="1:6" x14ac:dyDescent="0.25">
      <c r="A280" s="6" t="s">
        <v>127</v>
      </c>
      <c r="B280" s="7" t="s">
        <v>164</v>
      </c>
      <c r="C280" s="15" t="s">
        <v>472</v>
      </c>
      <c r="D280" s="9" t="str">
        <f>+VLOOKUP($C280,'[1]CODE GENERATOR'!$D:$J,6,FALSE)</f>
        <v>BLACK</v>
      </c>
      <c r="E280" s="9" t="str">
        <f>+VLOOKUP($C280,'[1]CODE GENERATOR'!$D:$J,7,FALSE)</f>
        <v>BLACK</v>
      </c>
      <c r="F280" s="8" t="str">
        <f>+VLOOKUP(C280,'[1]CODE GENERATOR'!$D:$P,13,FALSE)</f>
        <v>H.FLYPN_FLS0091_MSH0004BLKBLK</v>
      </c>
    </row>
    <row r="281" spans="1:6" x14ac:dyDescent="0.25">
      <c r="A281" s="6" t="s">
        <v>128</v>
      </c>
      <c r="B281" s="7" t="s">
        <v>167</v>
      </c>
      <c r="C281" s="15" t="s">
        <v>473</v>
      </c>
      <c r="D281" s="9" t="str">
        <f>+VLOOKUP($C281,'[1]CODE GENERATOR'!$D:$J,6,FALSE)</f>
        <v>BLACK</v>
      </c>
      <c r="E281" s="9" t="str">
        <f>+VLOOKUP($C281,'[1]CODE GENERATOR'!$D:$J,7,FALSE)</f>
        <v>GOLD</v>
      </c>
      <c r="F281" s="8" t="str">
        <f>+VLOOKUP(C281,'[1]CODE GENERATOR'!$D:$P,13,FALSE)</f>
        <v>H.RUGPN_EXS0092_FLC0001BLKGLD</v>
      </c>
    </row>
    <row r="282" spans="1:6" x14ac:dyDescent="0.25">
      <c r="A282" s="6" t="s">
        <v>128</v>
      </c>
      <c r="B282" s="7" t="s">
        <v>167</v>
      </c>
      <c r="C282" s="15" t="s">
        <v>474</v>
      </c>
      <c r="D282" s="9" t="str">
        <f>+VLOOKUP($C282,'[1]CODE GENERATOR'!$D:$J,6,FALSE)</f>
        <v>BORDEAUX</v>
      </c>
      <c r="E282" s="9" t="str">
        <f>+VLOOKUP($C282,'[1]CODE GENERATOR'!$D:$J,7,FALSE)</f>
        <v>GOLD</v>
      </c>
      <c r="F282" s="8" t="str">
        <f>+VLOOKUP(C282,'[1]CODE GENERATOR'!$D:$P,13,FALSE)</f>
        <v>H.RUGPN_EXS0092_FLC0001BORGLD</v>
      </c>
    </row>
    <row r="283" spans="1:6" x14ac:dyDescent="0.25">
      <c r="A283" s="6" t="s">
        <v>128</v>
      </c>
      <c r="B283" s="7" t="s">
        <v>167</v>
      </c>
      <c r="C283" s="15" t="s">
        <v>475</v>
      </c>
      <c r="D283" s="9" t="str">
        <f>+VLOOKUP($C283,'[1]CODE GENERATOR'!$D:$J,6,FALSE)</f>
        <v>PURPLE</v>
      </c>
      <c r="E283" s="9" t="str">
        <f>+VLOOKUP($C283,'[1]CODE GENERATOR'!$D:$J,7,FALSE)</f>
        <v>GOLD</v>
      </c>
      <c r="F283" s="8" t="str">
        <f>+VLOOKUP(C283,'[1]CODE GENERATOR'!$D:$P,13,FALSE)</f>
        <v>H.RUGPN_EXS0092_FLC0001PURGLD</v>
      </c>
    </row>
    <row r="284" spans="1:6" x14ac:dyDescent="0.25">
      <c r="A284" s="6" t="s">
        <v>128</v>
      </c>
      <c r="B284" s="7" t="s">
        <v>167</v>
      </c>
      <c r="C284" s="15" t="s">
        <v>476</v>
      </c>
      <c r="D284" s="9" t="str">
        <f>+VLOOKUP($C284,'[1]CODE GENERATOR'!$D:$J,6,FALSE)</f>
        <v>BLACK</v>
      </c>
      <c r="E284" s="9" t="str">
        <f>+VLOOKUP($C284,'[1]CODE GENERATOR'!$D:$J,7,FALSE)</f>
        <v>ROSE GOLD</v>
      </c>
      <c r="F284" s="8" t="str">
        <f>+VLOOKUP(C284,'[1]CODE GENERATOR'!$D:$P,13,FALSE)</f>
        <v>H.RUGPN_EXS0092_FLC0001BLKRGL</v>
      </c>
    </row>
    <row r="285" spans="1:6" x14ac:dyDescent="0.25">
      <c r="A285" s="6" t="s">
        <v>128</v>
      </c>
      <c r="B285" s="7" t="s">
        <v>167</v>
      </c>
      <c r="C285" s="15" t="s">
        <v>477</v>
      </c>
      <c r="D285" s="9" t="str">
        <f>+VLOOKUP($C285,'[1]CODE GENERATOR'!$D:$J,6,FALSE)</f>
        <v>DARK GRAY</v>
      </c>
      <c r="E285" s="9" t="str">
        <f>+VLOOKUP($C285,'[1]CODE GENERATOR'!$D:$J,7,FALSE)</f>
        <v>BLACK</v>
      </c>
      <c r="F285" s="8" t="str">
        <f>+VLOOKUP(C285,'[1]CODE GENERATOR'!$D:$P,13,FALSE)</f>
        <v>H.RUGPN_EXS0092_FLC0001DGYBLK</v>
      </c>
    </row>
    <row r="286" spans="1:6" x14ac:dyDescent="0.25">
      <c r="A286" s="6" t="s">
        <v>129</v>
      </c>
      <c r="B286" s="7" t="s">
        <v>173</v>
      </c>
      <c r="C286" s="15" t="s">
        <v>478</v>
      </c>
      <c r="D286" s="9" t="str">
        <f>+VLOOKUP($C286,'[1]CODE GENERATOR'!$D:$J,6,FALSE)</f>
        <v>BLUE-BLACK</v>
      </c>
      <c r="E286" s="9" t="str">
        <f>+VLOOKUP($C286,'[1]CODE GENERATOR'!$D:$J,7,FALSE)</f>
        <v>GOLD</v>
      </c>
      <c r="F286" s="8" t="str">
        <f>+VLOOKUP(C286,'[1]CODE GENERATOR'!$D:$P,13,FALSE)</f>
        <v>H.RUGPN_RXS0093_RPN0005BBLGLD</v>
      </c>
    </row>
    <row r="287" spans="1:6" x14ac:dyDescent="0.25">
      <c r="A287" s="6" t="s">
        <v>129</v>
      </c>
      <c r="B287" s="7" t="s">
        <v>173</v>
      </c>
      <c r="C287" s="15" t="s">
        <v>479</v>
      </c>
      <c r="D287" s="9" t="str">
        <f>+VLOOKUP($C287,'[1]CODE GENERATOR'!$D:$J,6,FALSE)</f>
        <v>BORDEAUX</v>
      </c>
      <c r="E287" s="9" t="str">
        <f>+VLOOKUP($C287,'[1]CODE GENERATOR'!$D:$J,7,FALSE)</f>
        <v>BLACK</v>
      </c>
      <c r="F287" s="8" t="str">
        <f>+VLOOKUP(C287,'[1]CODE GENERATOR'!$D:$P,13,FALSE)</f>
        <v>H.RUGPN_RXS0093_RPN0005BORBLK</v>
      </c>
    </row>
    <row r="288" spans="1:6" x14ac:dyDescent="0.25">
      <c r="A288" s="6" t="s">
        <v>129</v>
      </c>
      <c r="B288" s="7" t="s">
        <v>173</v>
      </c>
      <c r="C288" s="15" t="s">
        <v>480</v>
      </c>
      <c r="D288" s="9" t="str">
        <f>+VLOOKUP($C288,'[1]CODE GENERATOR'!$D:$J,6,FALSE)</f>
        <v>BEIGE</v>
      </c>
      <c r="E288" s="9" t="str">
        <f>+VLOOKUP($C288,'[1]CODE GENERATOR'!$D:$J,7,FALSE)</f>
        <v>BLACK</v>
      </c>
      <c r="F288" s="8" t="str">
        <f>+VLOOKUP(C288,'[1]CODE GENERATOR'!$D:$P,13,FALSE)</f>
        <v>H.RUGPN_RXS0093_RPN0005BEGBLK</v>
      </c>
    </row>
    <row r="289" spans="1:7" x14ac:dyDescent="0.25">
      <c r="A289" s="6" t="s">
        <v>129</v>
      </c>
      <c r="B289" s="7" t="s">
        <v>173</v>
      </c>
      <c r="C289" s="15" t="s">
        <v>481</v>
      </c>
      <c r="D289" s="9" t="str">
        <f>+VLOOKUP($C289,'[1]CODE GENERATOR'!$D:$J,6,FALSE)</f>
        <v>BLACK</v>
      </c>
      <c r="E289" s="9" t="str">
        <f>+VLOOKUP($C289,'[1]CODE GENERATOR'!$D:$J,7,FALSE)</f>
        <v>GOLD</v>
      </c>
      <c r="F289" s="8" t="str">
        <f>+VLOOKUP(C289,'[1]CODE GENERATOR'!$D:$P,13,FALSE)</f>
        <v>H.RUGPN_RXS0093_RPN0005BLKGLD</v>
      </c>
    </row>
    <row r="290" spans="1:7" x14ac:dyDescent="0.25">
      <c r="A290" s="6" t="s">
        <v>130</v>
      </c>
      <c r="B290" s="7" t="s">
        <v>213</v>
      </c>
      <c r="C290" s="15" t="s">
        <v>482</v>
      </c>
      <c r="D290" s="9" t="str">
        <f>+VLOOKUP($C290,'[1]CODE GENERATOR'!$D:$J,6,FALSE)</f>
        <v>BEIGE</v>
      </c>
      <c r="E290" s="9" t="str">
        <f>+VLOOKUP($C290,'[1]CODE GENERATOR'!$D:$J,7,FALSE)</f>
        <v>BEIGE</v>
      </c>
      <c r="F290" s="8" t="str">
        <f>+VLOOKUP(C290,'[1]CODE GENERATOR'!$D:$P,13,FALSE)</f>
        <v>A.RACUX_BLT0094A_BRD0002BEGBEG</v>
      </c>
    </row>
    <row r="291" spans="1:7" x14ac:dyDescent="0.25">
      <c r="A291" s="6" t="s">
        <v>130</v>
      </c>
      <c r="B291" s="7" t="s">
        <v>213</v>
      </c>
      <c r="C291" s="15" t="s">
        <v>483</v>
      </c>
      <c r="D291" s="9" t="str">
        <f>+VLOOKUP($C291,'[1]CODE GENERATOR'!$D:$J,6,FALSE)</f>
        <v>BLACK</v>
      </c>
      <c r="E291" s="9" t="str">
        <f>+VLOOKUP($C291,'[1]CODE GENERATOR'!$D:$J,7,FALSE)</f>
        <v>BLACK</v>
      </c>
      <c r="F291" s="8" t="str">
        <f>+VLOOKUP(C291,'[1]CODE GENERATOR'!$D:$P,13,FALSE)</f>
        <v>A.RACUX_BLT0094A_BRD0002BLKBLK</v>
      </c>
    </row>
    <row r="292" spans="1:7" x14ac:dyDescent="0.25">
      <c r="A292" s="6" t="s">
        <v>130</v>
      </c>
      <c r="B292" s="7" t="s">
        <v>213</v>
      </c>
      <c r="C292" s="15" t="s">
        <v>484</v>
      </c>
      <c r="D292" s="9" t="str">
        <f>+VLOOKUP($C292,'[1]CODE GENERATOR'!$D:$J,6,FALSE)</f>
        <v>NAVY</v>
      </c>
      <c r="E292" s="9" t="str">
        <f>+VLOOKUP($C292,'[1]CODE GENERATOR'!$D:$J,7,FALSE)</f>
        <v>NAVY</v>
      </c>
      <c r="F292" s="8" t="str">
        <f>+VLOOKUP(C292,'[1]CODE GENERATOR'!$D:$P,13,FALSE)</f>
        <v>A.RACUX_BLT0094A_BRD0002NAVNAV</v>
      </c>
    </row>
    <row r="293" spans="1:7" x14ac:dyDescent="0.25">
      <c r="A293" s="6" t="s">
        <v>131</v>
      </c>
      <c r="B293" s="7" t="s">
        <v>410</v>
      </c>
      <c r="C293" s="15" t="s">
        <v>485</v>
      </c>
      <c r="D293" s="9" t="str">
        <f>+VLOOKUP($C293,'[1]CODE GENERATOR'!$D:$J,6,FALSE)</f>
        <v>ELECTRIC BLUE</v>
      </c>
      <c r="E293" s="9" t="str">
        <f>+VLOOKUP($C293,'[1]CODE GENERATOR'!$D:$J,7,FALSE)</f>
        <v>ELECTRIC BLUE</v>
      </c>
      <c r="F293" s="8" t="str">
        <f>+VLOOKUP(C293,'[1]CODE GENERATOR'!$D:$P,13,FALSE)</f>
        <v>R.J&amp;TWN_CJK0095A_TJR0027ELBELB</v>
      </c>
      <c r="G293" s="1" t="s">
        <v>0</v>
      </c>
    </row>
    <row r="294" spans="1:7" x14ac:dyDescent="0.25">
      <c r="A294" s="6" t="s">
        <v>132</v>
      </c>
      <c r="B294" s="7" t="s">
        <v>486</v>
      </c>
      <c r="C294" s="15" t="s">
        <v>487</v>
      </c>
      <c r="D294" s="9" t="str">
        <f>+VLOOKUP($C294,'[1]CODE GENERATOR'!$D:$J,6,FALSE)</f>
        <v>RED</v>
      </c>
      <c r="E294" s="9" t="str">
        <f>+VLOOKUP($C294,'[1]CODE GENERATOR'!$D:$J,7,FALSE)</f>
        <v>RED</v>
      </c>
      <c r="F294" s="8" t="str">
        <f>+VLOOKUP(C294,'[1]CODE GENERATOR'!$D:$P,13,FALSE)</f>
        <v>R.J&amp;TMN_CJK0096_TJR0026REDRED</v>
      </c>
      <c r="G294" s="1" t="s">
        <v>3</v>
      </c>
    </row>
    <row r="295" spans="1:7" x14ac:dyDescent="0.25">
      <c r="A295" s="6" t="s">
        <v>133</v>
      </c>
      <c r="B295" s="7" t="s">
        <v>488</v>
      </c>
      <c r="C295" s="15" t="s">
        <v>489</v>
      </c>
      <c r="D295" s="9" t="str">
        <f>+VLOOKUP($C295,'[1]CODE GENERATOR'!$D:$J,6,FALSE)</f>
        <v>RED</v>
      </c>
      <c r="E295" s="9" t="str">
        <f>+VLOOKUP($C295,'[1]CODE GENERATOR'!$D:$J,7,FALSE)</f>
        <v>RED</v>
      </c>
      <c r="F295" s="8" t="str">
        <f>+VLOOKUP(C295,'[1]CODE GENERATOR'!$D:$P,13,FALSE)</f>
        <v>R.J&amp;TWN_CJK0097_TJR0027REDRED</v>
      </c>
      <c r="G295" s="1" t="s">
        <v>0</v>
      </c>
    </row>
    <row r="296" spans="1:7" x14ac:dyDescent="0.25">
      <c r="A296" s="6" t="s">
        <v>134</v>
      </c>
      <c r="B296" s="7" t="s">
        <v>490</v>
      </c>
      <c r="C296" s="15" t="s">
        <v>491</v>
      </c>
      <c r="D296" s="9" t="str">
        <f>+VLOOKUP($C296,'[1]CODE GENERATOR'!$D:$J,6,FALSE)</f>
        <v>WHITE</v>
      </c>
      <c r="E296" s="9" t="str">
        <f>+VLOOKUP($C296,'[1]CODE GENERATOR'!$D:$J,7,FALSE)</f>
        <v>RED</v>
      </c>
      <c r="F296" s="8" t="str">
        <f>+VLOOKUP(C296,'[1]CODE GENERATOR'!$D:$P,13,FALSE)</f>
        <v>R.TOPMN_CPL0098S_TJR0015WHTRED</v>
      </c>
      <c r="G296" s="1" t="s">
        <v>3</v>
      </c>
    </row>
    <row r="297" spans="1:7" x14ac:dyDescent="0.25">
      <c r="A297" s="6" t="s">
        <v>135</v>
      </c>
      <c r="B297" s="7" t="s">
        <v>492</v>
      </c>
      <c r="C297" s="15" t="s">
        <v>493</v>
      </c>
      <c r="D297" s="9" t="str">
        <f>+VLOOKUP($C297,'[1]CODE GENERATOR'!$D:$J,6,FALSE)</f>
        <v>WHITE</v>
      </c>
      <c r="E297" s="9" t="str">
        <f>+VLOOKUP($C297,'[1]CODE GENERATOR'!$D:$J,7,FALSE)</f>
        <v>RED</v>
      </c>
      <c r="F297" s="8" t="str">
        <f>+VLOOKUP(C297,'[1]CODE GENERATOR'!$D:$P,13,FALSE)</f>
        <v>R.TOPWN_CPL0099S_TJR0015WHTRED</v>
      </c>
      <c r="G297" s="1" t="s">
        <v>0</v>
      </c>
    </row>
    <row r="298" spans="1:7" x14ac:dyDescent="0.25">
      <c r="A298" s="6" t="s">
        <v>136</v>
      </c>
      <c r="B298" s="7" t="s">
        <v>494</v>
      </c>
      <c r="C298" s="15" t="s">
        <v>495</v>
      </c>
      <c r="D298" s="9" t="str">
        <f>+VLOOKUP($C298,'[1]CODE GENERATOR'!$D:$J,6,FALSE)</f>
        <v>BLUE-BLACK</v>
      </c>
      <c r="E298" s="9" t="str">
        <f>+VLOOKUP($C298,'[1]CODE GENERATOR'!$D:$J,7,FALSE)</f>
        <v>BLUE-BLACK</v>
      </c>
      <c r="F298" s="8" t="str">
        <f>+VLOOKUP(C298,'[1]CODE GENERATOR'!$D:$P,13,FALSE)</f>
        <v>H.RUGFL_STR0100A_RPS0032BBLBBL</v>
      </c>
    </row>
    <row r="299" spans="1:7" x14ac:dyDescent="0.25">
      <c r="A299" s="6" t="s">
        <v>137</v>
      </c>
      <c r="B299" s="7" t="s">
        <v>494</v>
      </c>
      <c r="C299" s="15" t="s">
        <v>496</v>
      </c>
      <c r="D299" s="9" t="str">
        <f>+VLOOKUP($C299,'[1]CODE GENERATOR'!$D:$J,6,FALSE)</f>
        <v>BLUE-BLACK</v>
      </c>
      <c r="E299" s="9" t="str">
        <f>+VLOOKUP($C299,'[1]CODE GENERATOR'!$D:$J,7,FALSE)</f>
        <v>BLUE-BLACK</v>
      </c>
      <c r="F299" s="8" t="str">
        <f>+VLOOKUP(C299,'[1]CODE GENERATOR'!$D:$P,13,FALSE)</f>
        <v>H.RUGPN_STR0100A_RPS0032BBLBBL</v>
      </c>
    </row>
    <row r="300" spans="1:7" x14ac:dyDescent="0.25">
      <c r="A300" s="6" t="s">
        <v>507</v>
      </c>
      <c r="B300" s="7" t="s">
        <v>213</v>
      </c>
      <c r="C300" s="15" t="s">
        <v>508</v>
      </c>
      <c r="D300" s="9" t="str">
        <f>+VLOOKUP($C300,'[1]CODE GENERATOR'!$D:$J,6,FALSE)</f>
        <v>GRAY</v>
      </c>
      <c r="E300" s="9" t="str">
        <f>+VLOOKUP($C300,'[1]CODE GENERATOR'!$D:$J,7,FALSE)</f>
        <v>BLACK</v>
      </c>
      <c r="F300" s="8" t="str">
        <f>+VLOOKUP(C300,'[1]CODE GENERATOR'!$D:$P,13,FALSE)</f>
        <v>A.RACUX_BLT0101A_BRD0003GRYBLK</v>
      </c>
    </row>
    <row r="301" spans="1:7" x14ac:dyDescent="0.25">
      <c r="A301" s="6" t="s">
        <v>507</v>
      </c>
      <c r="B301" s="7" t="s">
        <v>213</v>
      </c>
      <c r="C301" s="15" t="s">
        <v>509</v>
      </c>
      <c r="D301" s="9" t="str">
        <f>+VLOOKUP($C301,'[1]CODE GENERATOR'!$D:$J,6,FALSE)</f>
        <v>OCEAN BLUE</v>
      </c>
      <c r="E301" s="9" t="str">
        <f>+VLOOKUP($C301,'[1]CODE GENERATOR'!$D:$J,7,FALSE)</f>
        <v>BLACK</v>
      </c>
      <c r="F301" s="8" t="str">
        <f>+VLOOKUP(C301,'[1]CODE GENERATOR'!$D:$P,13,FALSE)</f>
        <v>A.RACUX_BLT0101A_BRD0003OCNBLK</v>
      </c>
    </row>
    <row r="302" spans="1:7" x14ac:dyDescent="0.25">
      <c r="A302" s="6" t="s">
        <v>510</v>
      </c>
      <c r="B302" s="7" t="s">
        <v>515</v>
      </c>
      <c r="C302" s="15" t="s">
        <v>516</v>
      </c>
      <c r="D302" s="9" t="str">
        <f>+VLOOKUP($C302,'[1]CODE GENERATOR'!$D:$J,6,FALSE)</f>
        <v>BLACK</v>
      </c>
      <c r="E302" s="9" t="str">
        <f>+VLOOKUP($C302,'[1]CODE GENERATOR'!$D:$J,7,FALSE)</f>
        <v>BLACK</v>
      </c>
      <c r="F302" s="8" t="str">
        <f>+VLOOKUP(C302,'[1]CODE GENERATOR'!$D:$P,13,FALSE)</f>
        <v>A.RACWN_HRB0106A_CNE0034BLKBLK</v>
      </c>
    </row>
    <row r="303" spans="1:7" x14ac:dyDescent="0.25">
      <c r="A303" s="6" t="s">
        <v>68</v>
      </c>
      <c r="B303" s="7" t="s">
        <v>258</v>
      </c>
      <c r="C303" s="15" t="s">
        <v>517</v>
      </c>
      <c r="D303" s="9" t="str">
        <f>+VLOOKUP($C303,'[1]CODE GENERATOR'!$D:$J,6,FALSE)</f>
        <v>BLACK</v>
      </c>
      <c r="E303" s="9" t="str">
        <f>+VLOOKUP($C303,'[1]CODE GENERATOR'!$D:$J,7,FALSE)</f>
        <v>BLACK</v>
      </c>
      <c r="F303" s="8" t="str">
        <f>+VLOOKUP(C303,'[1]CODE GENERATOR'!$D:$P,13,FALSE)</f>
        <v>A.RACAU_CAP0107A_CNE0035BLKBLK</v>
      </c>
    </row>
    <row r="304" spans="1:7" x14ac:dyDescent="0.25">
      <c r="A304" s="6" t="s">
        <v>68</v>
      </c>
      <c r="B304" s="7" t="s">
        <v>258</v>
      </c>
      <c r="C304" s="15" t="s">
        <v>518</v>
      </c>
      <c r="D304" s="9" t="str">
        <f>+VLOOKUP($C304,'[1]CODE GENERATOR'!$D:$J,6,FALSE)</f>
        <v>BEIGE</v>
      </c>
      <c r="E304" s="9" t="str">
        <f>+VLOOKUP($C304,'[1]CODE GENERATOR'!$D:$J,7,FALSE)</f>
        <v>BEIGE</v>
      </c>
      <c r="F304" s="8" t="str">
        <f>+VLOOKUP(C304,'[1]CODE GENERATOR'!$D:$P,13,FALSE)</f>
        <v>A.RACAU_CAP0107A_CNE0035BEGBEG</v>
      </c>
    </row>
    <row r="305" spans="1:7" x14ac:dyDescent="0.25">
      <c r="A305" s="6" t="s">
        <v>511</v>
      </c>
      <c r="B305" s="7" t="s">
        <v>243</v>
      </c>
      <c r="C305" s="15" t="s">
        <v>519</v>
      </c>
      <c r="D305" s="9" t="str">
        <f>+VLOOKUP($C305,'[1]CODE GENERATOR'!$D:$J,6,FALSE)</f>
        <v>SET #1</v>
      </c>
      <c r="E305" s="9" t="str">
        <f>+VLOOKUP($C305,'[1]CODE GENERATOR'!$D:$J,7,FALSE)</f>
        <v>SET #1</v>
      </c>
      <c r="F305" s="8" t="str">
        <f>+VLOOKUP(C305,'[1]CODE GENERATOR'!$D:$P,13,FALSE)</f>
        <v>A.RACAU_SOC0108A_CNE0036ST1ST1</v>
      </c>
    </row>
    <row r="306" spans="1:7" x14ac:dyDescent="0.25">
      <c r="A306" s="6" t="s">
        <v>511</v>
      </c>
      <c r="B306" s="7" t="s">
        <v>243</v>
      </c>
      <c r="C306" s="15" t="s">
        <v>520</v>
      </c>
      <c r="D306" s="9" t="str">
        <f>+VLOOKUP($C306,'[1]CODE GENERATOR'!$D:$J,6,FALSE)</f>
        <v>SET #2</v>
      </c>
      <c r="E306" s="9" t="str">
        <f>+VLOOKUP($C306,'[1]CODE GENERATOR'!$D:$J,7,FALSE)</f>
        <v>SET #2</v>
      </c>
      <c r="F306" s="8" t="str">
        <f>+VLOOKUP(C306,'[1]CODE GENERATOR'!$D:$P,13,FALSE)</f>
        <v>A.RACAU_SOC0108A_CNE0036ST2ST2</v>
      </c>
    </row>
    <row r="307" spans="1:7" x14ac:dyDescent="0.25">
      <c r="A307" s="6" t="s">
        <v>511</v>
      </c>
      <c r="B307" s="7" t="s">
        <v>243</v>
      </c>
      <c r="C307" s="15" t="s">
        <v>521</v>
      </c>
      <c r="D307" s="9" t="str">
        <f>+VLOOKUP($C307,'[1]CODE GENERATOR'!$D:$J,6,FALSE)</f>
        <v>SET #3</v>
      </c>
      <c r="E307" s="9" t="str">
        <f>+VLOOKUP($C307,'[1]CODE GENERATOR'!$D:$J,7,FALSE)</f>
        <v>SET #3</v>
      </c>
      <c r="F307" s="8" t="str">
        <f>+VLOOKUP(C307,'[1]CODE GENERATOR'!$D:$P,13,FALSE)</f>
        <v>A.RACAU_SOC0108A_CNE0036ST3ST3</v>
      </c>
    </row>
    <row r="308" spans="1:7" x14ac:dyDescent="0.25">
      <c r="A308" s="6" t="s">
        <v>511</v>
      </c>
      <c r="B308" s="7" t="s">
        <v>243</v>
      </c>
      <c r="C308" s="15" t="s">
        <v>522</v>
      </c>
      <c r="D308" s="9" t="str">
        <f>+VLOOKUP($C308,'[1]CODE GENERATOR'!$D:$J,6,FALSE)</f>
        <v>SET #4</v>
      </c>
      <c r="E308" s="9" t="str">
        <f>+VLOOKUP($C308,'[1]CODE GENERATOR'!$D:$J,7,FALSE)</f>
        <v>SET #4</v>
      </c>
      <c r="F308" s="8" t="str">
        <f>+VLOOKUP(C308,'[1]CODE GENERATOR'!$D:$P,13,FALSE)</f>
        <v>A.RACAU_SOC0108A_CNE0036ST4ST4</v>
      </c>
    </row>
    <row r="309" spans="1:7" x14ac:dyDescent="0.25">
      <c r="A309" s="6" t="s">
        <v>511</v>
      </c>
      <c r="B309" s="7" t="s">
        <v>243</v>
      </c>
      <c r="C309" s="15" t="s">
        <v>523</v>
      </c>
      <c r="D309" s="9" t="str">
        <f>+VLOOKUP($C309,'[1]CODE GENERATOR'!$D:$J,6,FALSE)</f>
        <v>SET #5</v>
      </c>
      <c r="E309" s="9" t="str">
        <f>+VLOOKUP($C309,'[1]CODE GENERATOR'!$D:$J,7,FALSE)</f>
        <v>SET #5</v>
      </c>
      <c r="F309" s="8" t="str">
        <f>+VLOOKUP(C309,'[1]CODE GENERATOR'!$D:$P,13,FALSE)</f>
        <v>A.RACAU_SOC0108A_CNE0036ST5ST5</v>
      </c>
    </row>
    <row r="310" spans="1:7" x14ac:dyDescent="0.25">
      <c r="A310" s="6" t="s">
        <v>511</v>
      </c>
      <c r="B310" s="7" t="s">
        <v>243</v>
      </c>
      <c r="C310" s="15" t="s">
        <v>524</v>
      </c>
      <c r="D310" s="9" t="str">
        <f>+VLOOKUP($C310,'[1]CODE GENERATOR'!$D:$J,6,FALSE)</f>
        <v>SET #6</v>
      </c>
      <c r="E310" s="9" t="str">
        <f>+VLOOKUP($C310,'[1]CODE GENERATOR'!$D:$J,7,FALSE)</f>
        <v>SET #6</v>
      </c>
      <c r="F310" s="8" t="str">
        <f>+VLOOKUP(C310,'[1]CODE GENERATOR'!$D:$P,13,FALSE)</f>
        <v>A.RACAU_SOC0108A_CNE0036ST6ST6</v>
      </c>
    </row>
    <row r="311" spans="1:7" x14ac:dyDescent="0.25">
      <c r="A311" s="6" t="s">
        <v>511</v>
      </c>
      <c r="B311" s="7" t="s">
        <v>243</v>
      </c>
      <c r="C311" s="15" t="s">
        <v>525</v>
      </c>
      <c r="D311" s="9" t="str">
        <f>+VLOOKUP($C311,'[1]CODE GENERATOR'!$D:$J,6,FALSE)</f>
        <v>SET #7</v>
      </c>
      <c r="E311" s="9" t="str">
        <f>+VLOOKUP($C311,'[1]CODE GENERATOR'!$D:$J,7,FALSE)</f>
        <v>SET #7</v>
      </c>
      <c r="F311" s="8" t="str">
        <f>+VLOOKUP(C311,'[1]CODE GENERATOR'!$D:$P,13,FALSE)</f>
        <v>A.RACAU_SOC0108A_CNE0036ST7ST7</v>
      </c>
    </row>
    <row r="312" spans="1:7" x14ac:dyDescent="0.25">
      <c r="A312" s="6" t="s">
        <v>512</v>
      </c>
      <c r="B312" s="7" t="s">
        <v>526</v>
      </c>
      <c r="C312" s="15" t="s">
        <v>527</v>
      </c>
      <c r="D312" s="9" t="str">
        <f>+VLOOKUP($C312,'[1]CODE GENERATOR'!$D:$J,6,FALSE)</f>
        <v>WHITE</v>
      </c>
      <c r="E312" s="9" t="str">
        <f>+VLOOKUP($C312,'[1]CODE GENERATOR'!$D:$J,7,FALSE)</f>
        <v>WHITE</v>
      </c>
      <c r="F312" s="8" t="str">
        <f>+VLOOKUP(C312,'[1]CODE GENERATOR'!$D:$P,13,FALSE)</f>
        <v>R.BOTWN_BRC0109W_TJR0037WHTWHT</v>
      </c>
      <c r="G312" s="1" t="s">
        <v>0</v>
      </c>
    </row>
    <row r="313" spans="1:7" x14ac:dyDescent="0.25">
      <c r="A313" s="6" t="s">
        <v>512</v>
      </c>
      <c r="B313" s="7" t="s">
        <v>526</v>
      </c>
      <c r="C313" s="15" t="s">
        <v>528</v>
      </c>
      <c r="D313" s="9" t="str">
        <f>+VLOOKUP($C313,'[1]CODE GENERATOR'!$D:$J,6,FALSE)</f>
        <v>BLACK</v>
      </c>
      <c r="E313" s="9" t="str">
        <f>+VLOOKUP($C313,'[1]CODE GENERATOR'!$D:$J,7,FALSE)</f>
        <v>BLACK</v>
      </c>
      <c r="F313" s="8" t="str">
        <f>+VLOOKUP(C313,'[1]CODE GENERATOR'!$D:$P,13,FALSE)</f>
        <v>R.BOTWN_BRC0109W_TJR0037BLKBLK</v>
      </c>
      <c r="G313" s="1" t="s">
        <v>0</v>
      </c>
    </row>
    <row r="314" spans="1:7" x14ac:dyDescent="0.25">
      <c r="A314" s="6" t="s">
        <v>513</v>
      </c>
      <c r="B314" s="7" t="s">
        <v>529</v>
      </c>
      <c r="C314" s="15" t="s">
        <v>530</v>
      </c>
      <c r="D314" s="9" t="str">
        <f>+VLOOKUP($C314,'[1]CODE GENERATOR'!$D:$J,6,FALSE)</f>
        <v>WHITE</v>
      </c>
      <c r="E314" s="9" t="str">
        <f>+VLOOKUP($C314,'[1]CODE GENERATOR'!$D:$J,7,FALSE)</f>
        <v>WHITE</v>
      </c>
      <c r="F314" s="8" t="str">
        <f>+VLOOKUP(C314,'[1]CODE GENERATOR'!$D:$P,13,FALSE)</f>
        <v>R.BOTMN_BRC0110W_TJR0037WHTWHT</v>
      </c>
      <c r="G314" s="1" t="s">
        <v>3</v>
      </c>
    </row>
    <row r="315" spans="1:7" x14ac:dyDescent="0.25">
      <c r="A315" s="6" t="s">
        <v>513</v>
      </c>
      <c r="B315" s="7" t="s">
        <v>529</v>
      </c>
      <c r="C315" s="15" t="s">
        <v>531</v>
      </c>
      <c r="D315" s="9" t="str">
        <f>+VLOOKUP($C315,'[1]CODE GENERATOR'!$D:$J,6,FALSE)</f>
        <v>BLACK</v>
      </c>
      <c r="E315" s="9" t="str">
        <f>+VLOOKUP($C315,'[1]CODE GENERATOR'!$D:$J,7,FALSE)</f>
        <v>BLACK</v>
      </c>
      <c r="F315" s="8" t="str">
        <f>+VLOOKUP(C315,'[1]CODE GENERATOR'!$D:$P,13,FALSE)</f>
        <v>R.BOTMN_BRC0110W_TJR0037BLKBLK</v>
      </c>
      <c r="G315" s="1" t="s">
        <v>3</v>
      </c>
    </row>
    <row r="316" spans="1:7" x14ac:dyDescent="0.25">
      <c r="A316" s="6" t="s">
        <v>514</v>
      </c>
      <c r="B316" s="7" t="s">
        <v>532</v>
      </c>
      <c r="C316" s="15" t="s">
        <v>533</v>
      </c>
      <c r="D316" s="9" t="str">
        <f>+VLOOKUP($C316,'[1]CODE GENERATOR'!$D:$J,6,FALSE)</f>
        <v>WHITE</v>
      </c>
      <c r="E316" s="9" t="str">
        <f>+VLOOKUP($C316,'[1]CODE GENERATOR'!$D:$J,7,FALSE)</f>
        <v>WHITE</v>
      </c>
      <c r="F316" s="8" t="str">
        <f>+VLOOKUP(C316,'[1]CODE GENERATOR'!$D:$P,13,FALSE)</f>
        <v>R.BOTKU_BRC0111W_TJR0037WHTWHT</v>
      </c>
      <c r="G316" s="1" t="s">
        <v>503</v>
      </c>
    </row>
    <row r="317" spans="1:7" x14ac:dyDescent="0.25">
      <c r="A317" s="6" t="s">
        <v>514</v>
      </c>
      <c r="B317" s="7" t="s">
        <v>532</v>
      </c>
      <c r="C317" s="15" t="s">
        <v>534</v>
      </c>
      <c r="D317" s="9" t="str">
        <f>+VLOOKUP($C317,'[1]CODE GENERATOR'!$D:$J,6,FALSE)</f>
        <v>BLACK</v>
      </c>
      <c r="E317" s="9" t="str">
        <f>+VLOOKUP($C317,'[1]CODE GENERATOR'!$D:$J,7,FALSE)</f>
        <v>BLACK</v>
      </c>
      <c r="F317" s="8" t="str">
        <f>+VLOOKUP(C317,'[1]CODE GENERATOR'!$D:$P,13,FALSE)</f>
        <v>R.BOTKU_BRC0111W_TJR0037BLKBLK</v>
      </c>
      <c r="G317" s="1" t="s">
        <v>503</v>
      </c>
    </row>
    <row r="318" spans="1:7" x14ac:dyDescent="0.25">
      <c r="A318" s="6" t="s">
        <v>535</v>
      </c>
      <c r="B318" s="7" t="s">
        <v>536</v>
      </c>
      <c r="C318" s="15" t="s">
        <v>537</v>
      </c>
      <c r="D318" s="9" t="str">
        <f>+VLOOKUP($C318,'[1]CODE GENERATOR'!$D:$J,6,FALSE)</f>
        <v>WHITE</v>
      </c>
      <c r="E318" s="9" t="str">
        <f>+VLOOKUP($C318,'[1]CODE GENERATOR'!$D:$J,7,FALSE)</f>
        <v>RED</v>
      </c>
      <c r="F318" s="8" t="str">
        <f>+VLOOKUP(C318,'[1]CODE GENERATOR'!$D:$P,13,FALSE)</f>
        <v>R.TOPWN_CPL0102A_TJR0015WHTRED</v>
      </c>
      <c r="G318" s="1" t="s">
        <v>0</v>
      </c>
    </row>
    <row r="319" spans="1:7" x14ac:dyDescent="0.25">
      <c r="A319" s="6" t="s">
        <v>538</v>
      </c>
      <c r="B319" s="7" t="s">
        <v>539</v>
      </c>
      <c r="C319" s="15" t="s">
        <v>540</v>
      </c>
      <c r="D319" s="9" t="str">
        <f>+VLOOKUP($C319,'[1]CODE GENERATOR'!$D:$J,6,FALSE)</f>
        <v>WHITE</v>
      </c>
      <c r="E319" s="9" t="str">
        <f>+VLOOKUP($C319,'[1]CODE GENERATOR'!$D:$J,7,FALSE)</f>
        <v>RED</v>
      </c>
      <c r="F319" s="8" t="str">
        <f>+VLOOKUP(C319,'[1]CODE GENERATOR'!$D:$P,13,FALSE)</f>
        <v>R.TOPMN_CPL0103A_TJR0015WHTRED</v>
      </c>
      <c r="G319" s="1" t="s">
        <v>3</v>
      </c>
    </row>
    <row r="320" spans="1:7" x14ac:dyDescent="0.25">
      <c r="A320" s="6" t="s">
        <v>541</v>
      </c>
      <c r="B320" s="7" t="s">
        <v>542</v>
      </c>
      <c r="C320" s="15" t="s">
        <v>543</v>
      </c>
      <c r="D320" s="9" t="str">
        <f>+VLOOKUP($C320,'[1]CODE GENERATOR'!$D:$J,6,FALSE)</f>
        <v>WHITE</v>
      </c>
      <c r="E320" s="9" t="str">
        <f>+VLOOKUP($C320,'[1]CODE GENERATOR'!$D:$J,7,FALSE)</f>
        <v>BLUE</v>
      </c>
      <c r="F320" s="8" t="str">
        <f>+VLOOKUP(C320,'[1]CODE GENERATOR'!$D:$P,13,FALSE)</f>
        <v>R.TOPWN_CSS0104A_COM0033WHTBLE</v>
      </c>
      <c r="G320" s="1" t="s">
        <v>503</v>
      </c>
    </row>
    <row r="321" spans="1:7" x14ac:dyDescent="0.25">
      <c r="A321" s="6" t="s">
        <v>546</v>
      </c>
      <c r="B321" s="7" t="s">
        <v>547</v>
      </c>
      <c r="C321" s="15" t="s">
        <v>548</v>
      </c>
      <c r="D321" s="9" t="str">
        <f>+VLOOKUP($C321,'[1]CODE GENERATOR'!$D:$J,6,FALSE)</f>
        <v>BLACK</v>
      </c>
      <c r="E321" s="9" t="str">
        <f>+VLOOKUP($C321,'[1]CODE GENERATOR'!$D:$J,7,FALSE)</f>
        <v>BLACK</v>
      </c>
      <c r="F321" s="8" t="str">
        <f>+VLOOKUP(C321,'[1]CODE GENERATOR'!$D:$P,13,FALSE)</f>
        <v>R.TOPWN_CSS0112W_TJR0038BLKBLK</v>
      </c>
    </row>
    <row r="322" spans="1:7" x14ac:dyDescent="0.25">
      <c r="A322" s="6" t="s">
        <v>546</v>
      </c>
      <c r="B322" s="7" t="s">
        <v>547</v>
      </c>
      <c r="C322" s="15" t="s">
        <v>549</v>
      </c>
      <c r="D322" s="9" t="str">
        <f>+VLOOKUP($C322,'[1]CODE GENERATOR'!$D:$J,6,FALSE)</f>
        <v>TAUPE</v>
      </c>
      <c r="E322" s="9" t="str">
        <f>+VLOOKUP($C322,'[1]CODE GENERATOR'!$D:$J,7,FALSE)</f>
        <v>TAUPE</v>
      </c>
      <c r="F322" s="8" t="str">
        <f>+VLOOKUP(C322,'[1]CODE GENERATOR'!$D:$P,13,FALSE)</f>
        <v>R.TOPWN_CSS0112W_TJR0038TAUTAU</v>
      </c>
    </row>
    <row r="323" spans="1:7" x14ac:dyDescent="0.25">
      <c r="A323" s="6" t="s">
        <v>546</v>
      </c>
      <c r="B323" s="7" t="s">
        <v>547</v>
      </c>
      <c r="C323" s="15" t="s">
        <v>550</v>
      </c>
      <c r="D323" s="9" t="str">
        <f>+VLOOKUP($C323,'[1]CODE GENERATOR'!$D:$J,6,FALSE)</f>
        <v>STEEL BLUE</v>
      </c>
      <c r="E323" s="9" t="str">
        <f>+VLOOKUP($C323,'[1]CODE GENERATOR'!$D:$J,7,FALSE)</f>
        <v>STEEL BLUE</v>
      </c>
      <c r="F323" s="8" t="str">
        <f>+VLOOKUP(C323,'[1]CODE GENERATOR'!$D:$P,13,FALSE)</f>
        <v>R.TOPWN_CSS0112W_TJR0038STBSTB</v>
      </c>
    </row>
    <row r="324" spans="1:7" x14ac:dyDescent="0.25">
      <c r="A324" s="6" t="s">
        <v>544</v>
      </c>
      <c r="B324" s="7" t="s">
        <v>333</v>
      </c>
      <c r="C324" s="15" t="s">
        <v>545</v>
      </c>
      <c r="D324" s="9" t="str">
        <f>+VLOOKUP($C324,'[1]CODE GENERATOR'!$D:$J,6,FALSE)</f>
        <v>WHITE</v>
      </c>
      <c r="E324" s="9" t="str">
        <f>+VLOOKUP($C324,'[1]CODE GENERATOR'!$D:$J,7,FALSE)</f>
        <v>BLUE</v>
      </c>
      <c r="F324" s="8" t="str">
        <f>+VLOOKUP(C324,'[1]CODE GENERATOR'!$D:$P,13,FALSE)</f>
        <v>R.TOPMN_CPS0105A_COM0033WHTBLE</v>
      </c>
      <c r="G324" s="1" t="s">
        <v>503</v>
      </c>
    </row>
    <row r="325" spans="1:7" x14ac:dyDescent="0.25">
      <c r="A325" s="6" t="s">
        <v>555</v>
      </c>
      <c r="B325" s="7" t="s">
        <v>556</v>
      </c>
      <c r="C325" s="15" t="s">
        <v>557</v>
      </c>
      <c r="D325" s="9" t="s">
        <v>558</v>
      </c>
      <c r="E325" s="9" t="s">
        <v>558</v>
      </c>
      <c r="F325" s="8" t="s">
        <v>559</v>
      </c>
      <c r="G325" s="1" t="s">
        <v>503</v>
      </c>
    </row>
    <row r="326" spans="1:7" x14ac:dyDescent="0.25">
      <c r="A326" s="6"/>
      <c r="B326" s="7"/>
      <c r="C326" s="15"/>
      <c r="D326" s="9"/>
      <c r="E326" s="9"/>
      <c r="F326" s="8"/>
    </row>
    <row r="327" spans="1:7" x14ac:dyDescent="0.25">
      <c r="A327" s="6"/>
      <c r="B327" s="7"/>
      <c r="C327" s="15"/>
      <c r="D327" s="9"/>
      <c r="E327" s="9"/>
      <c r="F327" s="8"/>
    </row>
    <row r="328" spans="1:7" x14ac:dyDescent="0.25">
      <c r="A328" s="6"/>
      <c r="B328" s="7"/>
      <c r="C328" s="15"/>
      <c r="D328" s="9"/>
      <c r="E328" s="9"/>
      <c r="F328" s="8"/>
    </row>
    <row r="329" spans="1:7" x14ac:dyDescent="0.25">
      <c r="A329" s="6"/>
      <c r="B329" s="7"/>
      <c r="C329" s="15"/>
      <c r="D329" s="9"/>
      <c r="E329" s="9"/>
      <c r="F329" s="8"/>
    </row>
    <row r="330" spans="1:7" x14ac:dyDescent="0.25">
      <c r="A330" s="6"/>
      <c r="B330" s="7"/>
      <c r="C330" s="15"/>
      <c r="D330" s="9"/>
      <c r="E330" s="9"/>
      <c r="F330" s="8"/>
    </row>
    <row r="331" spans="1:7" x14ac:dyDescent="0.25">
      <c r="A331" s="6"/>
      <c r="B331" s="7"/>
      <c r="C331" s="15"/>
      <c r="D331" s="9"/>
      <c r="E331" s="9"/>
      <c r="F331" s="8"/>
    </row>
    <row r="332" spans="1:7" x14ac:dyDescent="0.25">
      <c r="A332" s="6"/>
      <c r="B332" s="7"/>
      <c r="C332" s="15"/>
      <c r="D332" s="9"/>
      <c r="E332" s="9"/>
      <c r="F332" s="8"/>
    </row>
    <row r="333" spans="1:7" x14ac:dyDescent="0.25">
      <c r="A333" s="6"/>
      <c r="B333" s="7"/>
      <c r="C333" s="15"/>
      <c r="D333" s="9"/>
      <c r="E333" s="9"/>
      <c r="F333" s="8"/>
    </row>
    <row r="334" spans="1:7" x14ac:dyDescent="0.25">
      <c r="A334" s="6"/>
      <c r="B334" s="7"/>
      <c r="C334" s="15"/>
      <c r="D334" s="9"/>
      <c r="E334" s="9"/>
      <c r="F334" s="8"/>
    </row>
    <row r="335" spans="1:7" x14ac:dyDescent="0.25">
      <c r="A335" s="6"/>
      <c r="B335" s="7"/>
      <c r="C335" s="15"/>
      <c r="D335" s="9"/>
      <c r="E335" s="9"/>
      <c r="F335" s="8"/>
    </row>
    <row r="336" spans="1:7" x14ac:dyDescent="0.25">
      <c r="A336" s="6"/>
      <c r="B336" s="7"/>
      <c r="C336" s="15"/>
      <c r="D336" s="9"/>
      <c r="E336" s="9"/>
      <c r="F336" s="8"/>
    </row>
    <row r="337" spans="1:6" x14ac:dyDescent="0.25">
      <c r="A337" s="6"/>
      <c r="B337" s="7"/>
      <c r="C337" s="15"/>
      <c r="D337" s="9"/>
      <c r="E337" s="9"/>
      <c r="F337" s="8"/>
    </row>
    <row r="338" spans="1:6" x14ac:dyDescent="0.25">
      <c r="A338" s="6"/>
      <c r="B338" s="7"/>
      <c r="C338" s="15"/>
      <c r="D338" s="9"/>
      <c r="E338" s="9"/>
      <c r="F338" s="8"/>
    </row>
    <row r="339" spans="1:6" x14ac:dyDescent="0.25">
      <c r="A339" s="6"/>
      <c r="B339" s="7"/>
      <c r="C339" s="15"/>
      <c r="D339" s="9"/>
      <c r="E339" s="9"/>
      <c r="F339" s="8"/>
    </row>
    <row r="340" spans="1:6" x14ac:dyDescent="0.25">
      <c r="A340" s="6"/>
      <c r="B340" s="7"/>
      <c r="C340" s="15"/>
      <c r="D340" s="9"/>
      <c r="E340" s="9"/>
      <c r="F340" s="8"/>
    </row>
    <row r="341" spans="1:6" x14ac:dyDescent="0.25">
      <c r="A341" s="6"/>
      <c r="B341" s="7"/>
      <c r="C341" s="15"/>
      <c r="D341" s="9"/>
      <c r="E341" s="9"/>
      <c r="F341" s="8"/>
    </row>
    <row r="342" spans="1:6" x14ac:dyDescent="0.25">
      <c r="A342" s="6"/>
      <c r="B342" s="7"/>
      <c r="C342" s="15"/>
      <c r="D342" s="9"/>
      <c r="E342" s="9"/>
      <c r="F342" s="8"/>
    </row>
    <row r="343" spans="1:6" x14ac:dyDescent="0.25">
      <c r="A343" s="6"/>
      <c r="B343" s="7"/>
      <c r="C343" s="15"/>
      <c r="D343" s="9"/>
      <c r="E343" s="9"/>
      <c r="F343" s="8"/>
    </row>
    <row r="344" spans="1:6" x14ac:dyDescent="0.25">
      <c r="A344" s="6"/>
      <c r="B344" s="7"/>
      <c r="C344" s="15"/>
      <c r="D344" s="9"/>
      <c r="E344" s="9"/>
      <c r="F344" s="8"/>
    </row>
    <row r="345" spans="1:6" x14ac:dyDescent="0.25">
      <c r="A345" s="6"/>
      <c r="B345" s="7"/>
      <c r="C345" s="15"/>
      <c r="D345" s="9"/>
      <c r="E345" s="9"/>
      <c r="F345" s="8"/>
    </row>
    <row r="346" spans="1:6" x14ac:dyDescent="0.25">
      <c r="A346" s="6"/>
      <c r="B346" s="7"/>
      <c r="C346" s="15"/>
      <c r="D346" s="9"/>
      <c r="E346" s="9"/>
      <c r="F346" s="8"/>
    </row>
    <row r="347" spans="1:6" x14ac:dyDescent="0.25">
      <c r="A347" s="6"/>
      <c r="B347" s="7"/>
      <c r="C347" s="15"/>
      <c r="D347" s="9"/>
      <c r="E347" s="9"/>
      <c r="F347" s="8"/>
    </row>
    <row r="348" spans="1:6" x14ac:dyDescent="0.25">
      <c r="A348" s="6"/>
      <c r="B348" s="7"/>
      <c r="C348" s="15"/>
      <c r="D348" s="9"/>
      <c r="E348" s="9"/>
      <c r="F348" s="8"/>
    </row>
    <row r="349" spans="1:6" x14ac:dyDescent="0.25">
      <c r="A349" s="6"/>
      <c r="B349" s="7"/>
      <c r="C349" s="15"/>
      <c r="D349" s="9"/>
      <c r="E349" s="9"/>
      <c r="F349" s="8"/>
    </row>
    <row r="350" spans="1:6" x14ac:dyDescent="0.25">
      <c r="A350" s="6"/>
      <c r="B350" s="7"/>
      <c r="C350" s="15"/>
      <c r="D350" s="9"/>
      <c r="E350" s="9"/>
      <c r="F350" s="8"/>
    </row>
    <row r="351" spans="1:6" x14ac:dyDescent="0.25">
      <c r="A351" s="6"/>
      <c r="B351" s="7"/>
      <c r="C351" s="15"/>
      <c r="D351" s="9"/>
      <c r="E351" s="9"/>
      <c r="F351" s="8"/>
    </row>
    <row r="352" spans="1:6" x14ac:dyDescent="0.25">
      <c r="A352" s="6"/>
      <c r="B352" s="7"/>
      <c r="C352" s="15"/>
      <c r="D352" s="9"/>
      <c r="E352" s="9"/>
      <c r="F352" s="8"/>
    </row>
    <row r="353" spans="1:6" x14ac:dyDescent="0.25">
      <c r="A353" s="6"/>
      <c r="B353" s="7"/>
      <c r="C353" s="15"/>
      <c r="D353" s="9"/>
      <c r="E353" s="9"/>
      <c r="F353" s="8"/>
    </row>
    <row r="354" spans="1:6" x14ac:dyDescent="0.25">
      <c r="A354" s="6"/>
      <c r="B354" s="7"/>
      <c r="C354" s="15"/>
      <c r="D354" s="9"/>
      <c r="E354" s="9"/>
      <c r="F354" s="8"/>
    </row>
    <row r="355" spans="1:6" x14ac:dyDescent="0.25">
      <c r="A355" s="6"/>
      <c r="B355" s="7"/>
      <c r="C355" s="15"/>
      <c r="D355" s="9"/>
      <c r="E355" s="9"/>
      <c r="F355" s="8"/>
    </row>
    <row r="356" spans="1:6" x14ac:dyDescent="0.25">
      <c r="A356" s="6"/>
      <c r="B356" s="7"/>
      <c r="C356" s="15"/>
      <c r="D356" s="9"/>
      <c r="E356" s="9"/>
      <c r="F356" s="8"/>
    </row>
    <row r="357" spans="1:6" x14ac:dyDescent="0.25">
      <c r="A357" s="6"/>
      <c r="B357" s="7"/>
      <c r="C357" s="15"/>
      <c r="D357" s="9"/>
      <c r="E357" s="9"/>
      <c r="F357" s="8"/>
    </row>
    <row r="358" spans="1:6" x14ac:dyDescent="0.25">
      <c r="A358" s="6"/>
      <c r="B358" s="7"/>
      <c r="C358" s="15"/>
      <c r="D358" s="9"/>
      <c r="E358" s="9"/>
      <c r="F358" s="8"/>
    </row>
    <row r="359" spans="1:6" x14ac:dyDescent="0.25">
      <c r="A359" s="6"/>
      <c r="B359" s="7"/>
      <c r="C359" s="15"/>
      <c r="D359" s="9"/>
      <c r="E359" s="9"/>
      <c r="F359" s="8"/>
    </row>
    <row r="360" spans="1:6" x14ac:dyDescent="0.25">
      <c r="A360" s="6"/>
      <c r="B360" s="7"/>
      <c r="C360" s="15"/>
      <c r="D360" s="9"/>
      <c r="E360" s="9"/>
      <c r="F360" s="8"/>
    </row>
    <row r="361" spans="1:6" x14ac:dyDescent="0.25">
      <c r="A361" s="6"/>
      <c r="B361" s="7"/>
      <c r="C361" s="15"/>
      <c r="D361" s="9"/>
      <c r="E361" s="9"/>
      <c r="F361" s="8"/>
    </row>
    <row r="362" spans="1:6" x14ac:dyDescent="0.25">
      <c r="A362" s="6"/>
      <c r="B362" s="7"/>
      <c r="C362" s="15"/>
      <c r="D362" s="9"/>
      <c r="E362" s="9"/>
      <c r="F362" s="8"/>
    </row>
    <row r="363" spans="1:6" x14ac:dyDescent="0.25">
      <c r="A363" s="6"/>
      <c r="B363" s="7"/>
      <c r="C363" s="15"/>
      <c r="D363" s="9"/>
      <c r="E363" s="9"/>
      <c r="F363" s="8"/>
    </row>
    <row r="364" spans="1:6" x14ac:dyDescent="0.25">
      <c r="A364" s="6"/>
      <c r="B364" s="7"/>
      <c r="C364" s="15"/>
      <c r="D364" s="9"/>
      <c r="E364" s="9"/>
      <c r="F364" s="8"/>
    </row>
    <row r="365" spans="1:6" x14ac:dyDescent="0.25">
      <c r="A365" s="6"/>
      <c r="B365" s="7"/>
      <c r="C365" s="15"/>
      <c r="D365" s="9"/>
      <c r="E365" s="9"/>
      <c r="F365" s="8"/>
    </row>
    <row r="366" spans="1:6" x14ac:dyDescent="0.25">
      <c r="A366" s="6"/>
      <c r="B366" s="7"/>
      <c r="C366" s="15"/>
      <c r="D366" s="9"/>
      <c r="E366" s="9"/>
      <c r="F366" s="8"/>
    </row>
    <row r="367" spans="1:6" x14ac:dyDescent="0.25">
      <c r="A367" s="6"/>
      <c r="B367" s="7"/>
      <c r="C367" s="15"/>
      <c r="D367" s="9"/>
      <c r="E367" s="9"/>
      <c r="F367" s="8"/>
    </row>
    <row r="368" spans="1:6" x14ac:dyDescent="0.25">
      <c r="A368" s="6"/>
      <c r="B368" s="7"/>
      <c r="C368" s="15"/>
      <c r="D368" s="9"/>
      <c r="E368" s="9"/>
      <c r="F368" s="8"/>
    </row>
    <row r="369" spans="1:6" x14ac:dyDescent="0.25">
      <c r="A369" s="6"/>
      <c r="B369" s="7"/>
      <c r="C369" s="15"/>
      <c r="D369" s="9"/>
      <c r="E369" s="9"/>
      <c r="F369" s="8"/>
    </row>
    <row r="370" spans="1:6" x14ac:dyDescent="0.25">
      <c r="A370" s="6"/>
      <c r="B370" s="7"/>
      <c r="C370" s="15"/>
      <c r="D370" s="9"/>
      <c r="E370" s="9"/>
      <c r="F370" s="8"/>
    </row>
    <row r="371" spans="1:6" x14ac:dyDescent="0.25">
      <c r="A371" s="6"/>
      <c r="B371" s="7"/>
      <c r="C371" s="15"/>
      <c r="D371" s="9"/>
      <c r="E371" s="9"/>
      <c r="F371" s="8"/>
    </row>
    <row r="372" spans="1:6" x14ac:dyDescent="0.25">
      <c r="A372" s="6"/>
      <c r="B372" s="7"/>
      <c r="C372" s="15"/>
      <c r="D372" s="9"/>
      <c r="E372" s="9"/>
      <c r="F372" s="8"/>
    </row>
    <row r="373" spans="1:6" x14ac:dyDescent="0.25">
      <c r="A373" s="6"/>
      <c r="B373" s="7"/>
      <c r="C373" s="15"/>
      <c r="D373" s="9"/>
      <c r="E373" s="9"/>
      <c r="F373" s="8"/>
    </row>
    <row r="374" spans="1:6" x14ac:dyDescent="0.25">
      <c r="A374" s="6"/>
      <c r="B374" s="7"/>
      <c r="C374" s="15"/>
      <c r="D374" s="9"/>
      <c r="E374" s="9"/>
      <c r="F374" s="8"/>
    </row>
    <row r="375" spans="1:6" x14ac:dyDescent="0.25">
      <c r="A375" s="6"/>
      <c r="B375" s="7"/>
      <c r="C375" s="15"/>
      <c r="D375" s="9"/>
      <c r="E375" s="9"/>
      <c r="F375" s="8"/>
    </row>
    <row r="376" spans="1:6" x14ac:dyDescent="0.25">
      <c r="A376" s="6"/>
      <c r="B376" s="7"/>
      <c r="C376" s="15"/>
      <c r="D376" s="9"/>
      <c r="E376" s="9"/>
      <c r="F376" s="8"/>
    </row>
    <row r="377" spans="1:6" x14ac:dyDescent="0.25">
      <c r="A377" s="6"/>
      <c r="B377" s="7"/>
      <c r="C377" s="15"/>
      <c r="D377" s="9"/>
      <c r="E377" s="9"/>
      <c r="F377" s="8"/>
    </row>
    <row r="378" spans="1:6" x14ac:dyDescent="0.25">
      <c r="A378" s="6"/>
      <c r="B378" s="7"/>
      <c r="C378" s="15"/>
      <c r="D378" s="9"/>
      <c r="E378" s="9"/>
      <c r="F378" s="8"/>
    </row>
    <row r="379" spans="1:6" x14ac:dyDescent="0.25">
      <c r="A379" s="6"/>
      <c r="B379" s="7"/>
      <c r="C379" s="15"/>
      <c r="D379" s="9"/>
      <c r="E379" s="9"/>
      <c r="F379" s="8"/>
    </row>
    <row r="380" spans="1:6" x14ac:dyDescent="0.25">
      <c r="A380" s="6"/>
      <c r="B380" s="7"/>
      <c r="C380" s="15"/>
      <c r="D380" s="9"/>
      <c r="E380" s="9"/>
      <c r="F380" s="8"/>
    </row>
    <row r="381" spans="1:6" x14ac:dyDescent="0.25">
      <c r="A381" s="6"/>
      <c r="B381" s="7"/>
      <c r="C381" s="15"/>
      <c r="D381" s="9"/>
      <c r="E381" s="9"/>
      <c r="F381" s="8"/>
    </row>
    <row r="382" spans="1:6" x14ac:dyDescent="0.25">
      <c r="A382" s="6"/>
      <c r="B382" s="7"/>
      <c r="C382" s="15"/>
      <c r="D382" s="9"/>
      <c r="E382" s="9"/>
      <c r="F382" s="8"/>
    </row>
    <row r="383" spans="1:6" x14ac:dyDescent="0.25">
      <c r="A383" s="6"/>
      <c r="B383" s="7"/>
      <c r="C383" s="15"/>
      <c r="D383" s="9"/>
      <c r="E383" s="9"/>
      <c r="F383" s="8"/>
    </row>
    <row r="384" spans="1:6" x14ac:dyDescent="0.25">
      <c r="A384" s="6"/>
      <c r="B384" s="7"/>
      <c r="C384" s="15"/>
      <c r="D384" s="9"/>
      <c r="E384" s="9"/>
      <c r="F384" s="8"/>
    </row>
    <row r="385" spans="1:6" x14ac:dyDescent="0.25">
      <c r="A385" s="6"/>
      <c r="B385" s="7"/>
      <c r="C385" s="15"/>
      <c r="D385" s="9"/>
      <c r="E385" s="9"/>
      <c r="F385" s="8"/>
    </row>
    <row r="386" spans="1:6" x14ac:dyDescent="0.25">
      <c r="A386" s="6"/>
      <c r="B386" s="7"/>
      <c r="C386" s="15"/>
      <c r="D386" s="9"/>
      <c r="E386" s="9"/>
      <c r="F386" s="8"/>
    </row>
    <row r="387" spans="1:6" x14ac:dyDescent="0.25">
      <c r="A387" s="6"/>
      <c r="B387" s="7"/>
      <c r="C387" s="15"/>
      <c r="D387" s="9"/>
      <c r="E387" s="9"/>
      <c r="F387" s="8"/>
    </row>
    <row r="388" spans="1:6" x14ac:dyDescent="0.25">
      <c r="A388" s="6"/>
      <c r="B388" s="7"/>
      <c r="C388" s="15"/>
      <c r="D388" s="9"/>
      <c r="E388" s="9"/>
      <c r="F388" s="8"/>
    </row>
    <row r="389" spans="1:6" x14ac:dyDescent="0.25">
      <c r="A389" s="6"/>
      <c r="B389" s="7"/>
      <c r="C389" s="15"/>
      <c r="D389" s="9"/>
      <c r="E389" s="9"/>
      <c r="F389" s="8"/>
    </row>
    <row r="390" spans="1:6" x14ac:dyDescent="0.25">
      <c r="A390" s="6"/>
      <c r="B390" s="7"/>
      <c r="C390" s="15"/>
      <c r="D390" s="9"/>
      <c r="E390" s="9"/>
      <c r="F390" s="8"/>
    </row>
    <row r="391" spans="1:6" x14ac:dyDescent="0.25">
      <c r="A391" s="6"/>
      <c r="B391" s="7"/>
      <c r="C391" s="15"/>
      <c r="D391" s="9"/>
      <c r="E391" s="9"/>
      <c r="F391" s="8"/>
    </row>
    <row r="392" spans="1:6" x14ac:dyDescent="0.25">
      <c r="A392" s="6"/>
      <c r="B392" s="7"/>
      <c r="C392" s="15"/>
      <c r="D392" s="9"/>
      <c r="E392" s="9"/>
      <c r="F392" s="8"/>
    </row>
    <row r="393" spans="1:6" x14ac:dyDescent="0.25">
      <c r="A393" s="6"/>
      <c r="B393" s="7"/>
      <c r="C393" s="15"/>
      <c r="D393" s="9"/>
      <c r="E393" s="9"/>
      <c r="F393" s="8"/>
    </row>
    <row r="394" spans="1:6" x14ac:dyDescent="0.25">
      <c r="A394" s="6"/>
      <c r="B394" s="7"/>
      <c r="C394" s="15"/>
      <c r="D394" s="9"/>
      <c r="E394" s="9"/>
      <c r="F394" s="8"/>
    </row>
    <row r="395" spans="1:6" x14ac:dyDescent="0.25">
      <c r="A395" s="6"/>
      <c r="B395" s="7"/>
      <c r="C395" s="15"/>
      <c r="D395" s="9"/>
      <c r="E395" s="9"/>
      <c r="F395" s="8"/>
    </row>
    <row r="396" spans="1:6" x14ac:dyDescent="0.25">
      <c r="A396" s="6"/>
      <c r="B396" s="7"/>
      <c r="C396" s="15"/>
      <c r="D396" s="9"/>
      <c r="E396" s="9"/>
      <c r="F396" s="8"/>
    </row>
    <row r="397" spans="1:6" x14ac:dyDescent="0.25">
      <c r="A397" s="6"/>
      <c r="B397" s="7"/>
      <c r="C397" s="15"/>
      <c r="D397" s="9"/>
      <c r="E397" s="9"/>
      <c r="F397" s="8"/>
    </row>
    <row r="398" spans="1:6" x14ac:dyDescent="0.25">
      <c r="A398" s="6"/>
      <c r="B398" s="7"/>
      <c r="C398" s="15"/>
      <c r="D398" s="9"/>
      <c r="E398" s="9"/>
      <c r="F398" s="8"/>
    </row>
    <row r="399" spans="1:6" x14ac:dyDescent="0.25">
      <c r="A399" s="6"/>
      <c r="B399" s="7"/>
      <c r="C399" s="15"/>
      <c r="D399" s="9"/>
      <c r="E399" s="9"/>
      <c r="F399" s="8"/>
    </row>
    <row r="400" spans="1:6" x14ac:dyDescent="0.25">
      <c r="A400" s="6"/>
      <c r="B400" s="7"/>
      <c r="C400" s="15"/>
      <c r="D400" s="9"/>
      <c r="E400" s="9"/>
      <c r="F400" s="8"/>
    </row>
    <row r="401" spans="1:6" x14ac:dyDescent="0.25">
      <c r="A401" s="6"/>
      <c r="B401" s="7"/>
      <c r="C401" s="15"/>
      <c r="D401" s="9"/>
      <c r="E401" s="9"/>
      <c r="F401" s="8"/>
    </row>
    <row r="402" spans="1:6" x14ac:dyDescent="0.25">
      <c r="A402" s="6"/>
      <c r="B402" s="7"/>
      <c r="C402" s="15"/>
      <c r="D402" s="9"/>
      <c r="E402" s="9"/>
      <c r="F402" s="8"/>
    </row>
    <row r="403" spans="1:6" x14ac:dyDescent="0.25">
      <c r="A403" s="6"/>
      <c r="B403" s="7"/>
      <c r="C403" s="15"/>
      <c r="D403" s="9"/>
      <c r="E403" s="9"/>
      <c r="F403" s="8"/>
    </row>
    <row r="404" spans="1:6" x14ac:dyDescent="0.25">
      <c r="A404" s="6"/>
      <c r="B404" s="7"/>
      <c r="C404" s="15"/>
      <c r="D404" s="9"/>
      <c r="E404" s="9"/>
      <c r="F404" s="8"/>
    </row>
    <row r="405" spans="1:6" x14ac:dyDescent="0.25">
      <c r="A405" s="6"/>
      <c r="B405" s="7"/>
      <c r="C405" s="15"/>
      <c r="D405" s="9"/>
      <c r="E405" s="9"/>
      <c r="F405" s="8"/>
    </row>
    <row r="406" spans="1:6" x14ac:dyDescent="0.25">
      <c r="A406" s="6"/>
      <c r="B406" s="7"/>
      <c r="C406" s="15"/>
      <c r="D406" s="9"/>
      <c r="E406" s="9"/>
      <c r="F406" s="8"/>
    </row>
    <row r="407" spans="1:6" x14ac:dyDescent="0.25">
      <c r="A407" s="6"/>
      <c r="B407" s="7"/>
      <c r="C407" s="15"/>
      <c r="D407" s="9"/>
      <c r="E407" s="9"/>
      <c r="F407" s="8"/>
    </row>
    <row r="408" spans="1:6" x14ac:dyDescent="0.25">
      <c r="A408" s="6"/>
      <c r="B408" s="7"/>
      <c r="C408" s="15"/>
      <c r="D408" s="9"/>
      <c r="E408" s="9"/>
      <c r="F408" s="8"/>
    </row>
    <row r="409" spans="1:6" x14ac:dyDescent="0.25">
      <c r="A409" s="6"/>
      <c r="B409" s="7"/>
      <c r="C409" s="15"/>
      <c r="D409" s="9"/>
      <c r="E409" s="9"/>
      <c r="F409" s="8"/>
    </row>
    <row r="410" spans="1:6" x14ac:dyDescent="0.25">
      <c r="A410" s="6"/>
      <c r="B410" s="7"/>
      <c r="C410" s="15"/>
      <c r="D410" s="9"/>
      <c r="E410" s="9"/>
      <c r="F410" s="8"/>
    </row>
    <row r="411" spans="1:6" x14ac:dyDescent="0.25">
      <c r="A411" s="6"/>
      <c r="B411" s="7"/>
      <c r="C411" s="15"/>
      <c r="D411" s="9"/>
      <c r="E411" s="9"/>
      <c r="F411" s="8"/>
    </row>
    <row r="412" spans="1:6" x14ac:dyDescent="0.25">
      <c r="A412" s="6"/>
      <c r="B412" s="7"/>
      <c r="C412" s="15"/>
      <c r="D412" s="9"/>
      <c r="E412" s="9"/>
      <c r="F412" s="8"/>
    </row>
    <row r="413" spans="1:6" x14ac:dyDescent="0.25">
      <c r="A413" s="6"/>
      <c r="B413" s="7"/>
      <c r="C413" s="15"/>
      <c r="D413" s="9"/>
      <c r="E413" s="9"/>
      <c r="F413" s="8"/>
    </row>
    <row r="414" spans="1:6" x14ac:dyDescent="0.25">
      <c r="A414" s="6"/>
      <c r="B414" s="7"/>
      <c r="C414" s="15"/>
      <c r="D414" s="9"/>
      <c r="E414" s="9"/>
      <c r="F414" s="8"/>
    </row>
    <row r="415" spans="1:6" x14ac:dyDescent="0.25">
      <c r="A415" s="6"/>
      <c r="B415" s="7"/>
      <c r="C415" s="15"/>
      <c r="D415" s="9"/>
      <c r="E415" s="9"/>
      <c r="F415" s="8"/>
    </row>
    <row r="416" spans="1:6" x14ac:dyDescent="0.25">
      <c r="A416" s="6"/>
      <c r="B416" s="7"/>
      <c r="C416" s="15"/>
      <c r="D416" s="9"/>
      <c r="E416" s="9"/>
      <c r="F416" s="8"/>
    </row>
    <row r="417" spans="1:6" x14ac:dyDescent="0.25">
      <c r="A417" s="6"/>
      <c r="B417" s="7"/>
      <c r="C417" s="15"/>
      <c r="D417" s="9"/>
      <c r="E417" s="9"/>
      <c r="F417" s="8"/>
    </row>
    <row r="418" spans="1:6" x14ac:dyDescent="0.25">
      <c r="A418" s="6"/>
      <c r="B418" s="7"/>
      <c r="C418" s="15"/>
      <c r="D418" s="9"/>
      <c r="E418" s="9"/>
      <c r="F418" s="8"/>
    </row>
    <row r="419" spans="1:6" x14ac:dyDescent="0.25">
      <c r="A419" s="6"/>
      <c r="B419" s="7"/>
      <c r="C419" s="15"/>
      <c r="D419" s="9"/>
      <c r="E419" s="9"/>
      <c r="F419" s="8"/>
    </row>
    <row r="420" spans="1:6" x14ac:dyDescent="0.25">
      <c r="A420" s="6"/>
      <c r="B420" s="7"/>
      <c r="C420" s="15"/>
      <c r="D420" s="9"/>
      <c r="E420" s="9"/>
      <c r="F420" s="8"/>
    </row>
    <row r="421" spans="1:6" x14ac:dyDescent="0.25">
      <c r="A421" s="6"/>
      <c r="B421" s="7"/>
      <c r="C421" s="15"/>
      <c r="D421" s="9"/>
      <c r="E421" s="9"/>
      <c r="F421" s="8"/>
    </row>
    <row r="422" spans="1:6" x14ac:dyDescent="0.25">
      <c r="A422" s="6"/>
      <c r="B422" s="7"/>
      <c r="C422" s="15"/>
      <c r="D422" s="9"/>
      <c r="E422" s="9"/>
      <c r="F422" s="8"/>
    </row>
    <row r="423" spans="1:6" x14ac:dyDescent="0.25">
      <c r="A423" s="6"/>
      <c r="B423" s="7"/>
      <c r="C423" s="15"/>
      <c r="D423" s="9"/>
      <c r="E423" s="9"/>
      <c r="F423" s="8"/>
    </row>
    <row r="424" spans="1:6" x14ac:dyDescent="0.25">
      <c r="A424" s="6"/>
      <c r="B424" s="7"/>
      <c r="C424" s="15"/>
      <c r="D424" s="9"/>
      <c r="E424" s="9"/>
      <c r="F424" s="8"/>
    </row>
    <row r="425" spans="1:6" x14ac:dyDescent="0.25">
      <c r="A425" s="6"/>
      <c r="B425" s="7"/>
      <c r="C425" s="15"/>
      <c r="D425" s="9"/>
      <c r="E425" s="9"/>
      <c r="F425" s="8"/>
    </row>
    <row r="426" spans="1:6" x14ac:dyDescent="0.25">
      <c r="A426" s="6"/>
      <c r="B426" s="7"/>
      <c r="C426" s="15"/>
      <c r="D426" s="9"/>
      <c r="E426" s="9"/>
      <c r="F426" s="8"/>
    </row>
    <row r="427" spans="1:6" x14ac:dyDescent="0.25">
      <c r="A427" s="6"/>
      <c r="B427" s="7"/>
      <c r="C427" s="15"/>
      <c r="D427" s="9"/>
      <c r="E427" s="9"/>
      <c r="F427" s="8"/>
    </row>
    <row r="428" spans="1:6" x14ac:dyDescent="0.25">
      <c r="A428" s="6"/>
      <c r="B428" s="7"/>
      <c r="C428" s="15"/>
      <c r="D428" s="9"/>
      <c r="E428" s="9"/>
      <c r="F428" s="8"/>
    </row>
    <row r="429" spans="1:6" x14ac:dyDescent="0.25">
      <c r="A429" s="6"/>
      <c r="B429" s="7"/>
      <c r="C429" s="15"/>
      <c r="D429" s="9"/>
      <c r="E429" s="9"/>
      <c r="F429" s="8"/>
    </row>
    <row r="430" spans="1:6" x14ac:dyDescent="0.25">
      <c r="A430" s="6"/>
      <c r="B430" s="7"/>
      <c r="C430" s="15"/>
      <c r="D430" s="9"/>
      <c r="E430" s="9"/>
      <c r="F430" s="8"/>
    </row>
    <row r="431" spans="1:6" x14ac:dyDescent="0.25">
      <c r="A431" s="6"/>
      <c r="B431" s="7"/>
      <c r="C431" s="15"/>
      <c r="D431" s="9"/>
      <c r="E431" s="9"/>
      <c r="F431" s="8"/>
    </row>
    <row r="432" spans="1:6" x14ac:dyDescent="0.25">
      <c r="A432" s="6"/>
      <c r="B432" s="7"/>
      <c r="C432" s="15"/>
      <c r="D432" s="9"/>
      <c r="E432" s="9"/>
      <c r="F432" s="8"/>
    </row>
    <row r="433" spans="1:6" x14ac:dyDescent="0.25">
      <c r="A433" s="6"/>
      <c r="B433" s="7"/>
      <c r="C433" s="15"/>
      <c r="D433" s="9"/>
      <c r="E433" s="9"/>
      <c r="F433" s="8"/>
    </row>
    <row r="434" spans="1:6" x14ac:dyDescent="0.25">
      <c r="A434" s="6"/>
      <c r="B434" s="7"/>
      <c r="C434" s="15"/>
      <c r="D434" s="9"/>
      <c r="E434" s="9"/>
      <c r="F434" s="8"/>
    </row>
    <row r="435" spans="1:6" x14ac:dyDescent="0.25">
      <c r="A435" s="6"/>
      <c r="B435" s="7"/>
      <c r="C435" s="15"/>
      <c r="D435" s="9"/>
      <c r="E435" s="9"/>
      <c r="F435" s="8"/>
    </row>
    <row r="436" spans="1:6" x14ac:dyDescent="0.25">
      <c r="A436" s="6"/>
      <c r="B436" s="7"/>
      <c r="C436" s="15"/>
      <c r="D436" s="9"/>
      <c r="E436" s="9"/>
      <c r="F436" s="8"/>
    </row>
    <row r="437" spans="1:6" x14ac:dyDescent="0.25">
      <c r="A437" s="6"/>
      <c r="B437" s="7"/>
      <c r="C437" s="15"/>
      <c r="D437" s="9"/>
      <c r="E437" s="9"/>
      <c r="F437" s="8"/>
    </row>
    <row r="438" spans="1:6" x14ac:dyDescent="0.25">
      <c r="A438" s="6"/>
      <c r="B438" s="7"/>
      <c r="C438" s="15"/>
      <c r="D438" s="9"/>
      <c r="E438" s="9"/>
      <c r="F438" s="8"/>
    </row>
    <row r="439" spans="1:6" x14ac:dyDescent="0.25">
      <c r="A439" s="6"/>
      <c r="B439" s="7"/>
      <c r="C439" s="15"/>
      <c r="D439" s="9"/>
      <c r="E439" s="9"/>
      <c r="F439" s="8"/>
    </row>
    <row r="440" spans="1:6" x14ac:dyDescent="0.25">
      <c r="A440" s="6"/>
      <c r="B440" s="7"/>
      <c r="C440" s="15"/>
      <c r="D440" s="9"/>
      <c r="E440" s="9"/>
      <c r="F440" s="8"/>
    </row>
    <row r="441" spans="1:6" x14ac:dyDescent="0.25">
      <c r="A441" s="6"/>
      <c r="B441" s="7"/>
      <c r="C441" s="15"/>
      <c r="D441" s="9"/>
      <c r="E441" s="9"/>
      <c r="F441" s="8"/>
    </row>
    <row r="442" spans="1:6" x14ac:dyDescent="0.25">
      <c r="A442" s="6"/>
      <c r="B442" s="7"/>
      <c r="C442" s="15"/>
      <c r="D442" s="9"/>
      <c r="E442" s="9"/>
      <c r="F442" s="8"/>
    </row>
    <row r="443" spans="1:6" x14ac:dyDescent="0.25">
      <c r="A443" s="6"/>
      <c r="B443" s="7"/>
      <c r="C443" s="15"/>
      <c r="D443" s="9"/>
      <c r="E443" s="9"/>
      <c r="F443" s="8"/>
    </row>
    <row r="444" spans="1:6" x14ac:dyDescent="0.25">
      <c r="A444" s="6"/>
      <c r="B444" s="7"/>
      <c r="C444" s="15"/>
      <c r="D444" s="9"/>
      <c r="E444" s="9"/>
      <c r="F444" s="8"/>
    </row>
    <row r="445" spans="1:6" x14ac:dyDescent="0.25">
      <c r="A445" s="6"/>
      <c r="B445" s="7"/>
      <c r="C445" s="15"/>
      <c r="D445" s="9"/>
      <c r="E445" s="9"/>
      <c r="F445" s="8"/>
    </row>
    <row r="446" spans="1:6" x14ac:dyDescent="0.25">
      <c r="A446" s="6"/>
      <c r="B446" s="7"/>
      <c r="C446" s="15"/>
      <c r="D446" s="9"/>
      <c r="E446" s="9"/>
      <c r="F446" s="8"/>
    </row>
    <row r="447" spans="1:6" x14ac:dyDescent="0.25">
      <c r="A447" s="6"/>
      <c r="B447" s="7"/>
      <c r="C447" s="15"/>
      <c r="D447" s="9"/>
      <c r="E447" s="9"/>
      <c r="F447" s="8"/>
    </row>
    <row r="448" spans="1:6" x14ac:dyDescent="0.25">
      <c r="A448" s="6"/>
      <c r="B448" s="7"/>
      <c r="C448" s="15"/>
      <c r="D448" s="9"/>
      <c r="E448" s="9"/>
      <c r="F448" s="8"/>
    </row>
    <row r="449" spans="1:6" x14ac:dyDescent="0.25">
      <c r="A449" s="6"/>
      <c r="B449" s="7"/>
      <c r="C449" s="15"/>
      <c r="D449" s="9"/>
      <c r="E449" s="9"/>
      <c r="F449" s="8"/>
    </row>
    <row r="450" spans="1:6" x14ac:dyDescent="0.25">
      <c r="A450" s="6"/>
      <c r="B450" s="7"/>
      <c r="C450" s="15"/>
      <c r="D450" s="9"/>
      <c r="E450" s="9"/>
      <c r="F450" s="8"/>
    </row>
    <row r="451" spans="1:6" x14ac:dyDescent="0.25">
      <c r="A451" s="6"/>
      <c r="B451" s="7"/>
      <c r="C451" s="15"/>
      <c r="D451" s="9"/>
      <c r="E451" s="9"/>
      <c r="F451" s="8"/>
    </row>
    <row r="452" spans="1:6" x14ac:dyDescent="0.25">
      <c r="A452" s="6"/>
      <c r="B452" s="7"/>
      <c r="C452" s="15"/>
      <c r="D452" s="9"/>
      <c r="E452" s="9"/>
      <c r="F452" s="8"/>
    </row>
    <row r="453" spans="1:6" x14ac:dyDescent="0.25">
      <c r="A453" s="6"/>
      <c r="B453" s="7"/>
      <c r="C453" s="15"/>
      <c r="D453" s="9"/>
      <c r="E453" s="9"/>
      <c r="F453" s="8"/>
    </row>
    <row r="454" spans="1:6" x14ac:dyDescent="0.25">
      <c r="A454" s="6"/>
      <c r="B454" s="7"/>
      <c r="C454" s="15"/>
      <c r="D454" s="9"/>
      <c r="E454" s="9"/>
      <c r="F454" s="8"/>
    </row>
    <row r="455" spans="1:6" x14ac:dyDescent="0.25">
      <c r="A455" s="6"/>
      <c r="B455" s="7"/>
      <c r="C455" s="15"/>
      <c r="D455" s="9"/>
      <c r="E455" s="9"/>
      <c r="F455" s="8"/>
    </row>
    <row r="456" spans="1:6" x14ac:dyDescent="0.25">
      <c r="A456" s="6"/>
      <c r="B456" s="7"/>
      <c r="C456" s="15"/>
      <c r="D456" s="9"/>
      <c r="E456" s="9"/>
      <c r="F456" s="8"/>
    </row>
    <row r="457" spans="1:6" x14ac:dyDescent="0.25">
      <c r="A457" s="6"/>
      <c r="B457" s="7"/>
      <c r="C457" s="15"/>
      <c r="D457" s="9"/>
      <c r="E457" s="9"/>
      <c r="F457" s="8"/>
    </row>
    <row r="458" spans="1:6" x14ac:dyDescent="0.25">
      <c r="A458" s="6"/>
      <c r="B458" s="7"/>
      <c r="C458" s="15"/>
      <c r="D458" s="9"/>
      <c r="E458" s="9"/>
      <c r="F458" s="8"/>
    </row>
    <row r="459" spans="1:6" x14ac:dyDescent="0.25">
      <c r="A459" s="6"/>
      <c r="B459" s="7"/>
      <c r="C459" s="15"/>
      <c r="D459" s="9"/>
      <c r="E459" s="9"/>
      <c r="F459" s="8"/>
    </row>
    <row r="460" spans="1:6" x14ac:dyDescent="0.25">
      <c r="A460" s="6"/>
      <c r="B460" s="7"/>
      <c r="C460" s="15"/>
      <c r="D460" s="9"/>
      <c r="E460" s="9"/>
      <c r="F460" s="8"/>
    </row>
    <row r="461" spans="1:6" x14ac:dyDescent="0.25">
      <c r="A461" s="6"/>
      <c r="B461" s="7"/>
      <c r="C461" s="15"/>
      <c r="D461" s="9"/>
      <c r="E461" s="9"/>
      <c r="F461" s="8"/>
    </row>
    <row r="462" spans="1:6" x14ac:dyDescent="0.25">
      <c r="A462" s="6"/>
      <c r="B462" s="7"/>
      <c r="C462" s="15"/>
      <c r="D462" s="9"/>
      <c r="E462" s="9"/>
      <c r="F462" s="8"/>
    </row>
    <row r="463" spans="1:6" x14ac:dyDescent="0.25">
      <c r="A463" s="6"/>
      <c r="B463" s="7"/>
      <c r="C463" s="15"/>
      <c r="D463" s="9"/>
      <c r="E463" s="9"/>
      <c r="F463" s="8"/>
    </row>
    <row r="464" spans="1:6" x14ac:dyDescent="0.25">
      <c r="A464" s="6"/>
      <c r="B464" s="7"/>
      <c r="C464" s="15"/>
      <c r="D464" s="9"/>
      <c r="E464" s="9"/>
      <c r="F464" s="8"/>
    </row>
    <row r="465" spans="1:6" x14ac:dyDescent="0.25">
      <c r="A465" s="6"/>
      <c r="B465" s="7"/>
      <c r="C465" s="15"/>
      <c r="D465" s="9"/>
      <c r="E465" s="9"/>
      <c r="F465" s="8"/>
    </row>
    <row r="466" spans="1:6" x14ac:dyDescent="0.25">
      <c r="A466" s="6"/>
      <c r="B466" s="7"/>
      <c r="C466" s="15"/>
      <c r="D466" s="9"/>
      <c r="E466" s="9"/>
      <c r="F466" s="8"/>
    </row>
    <row r="467" spans="1:6" x14ac:dyDescent="0.25">
      <c r="A467" s="6"/>
      <c r="B467" s="7"/>
      <c r="C467" s="15"/>
      <c r="D467" s="9"/>
      <c r="E467" s="9"/>
      <c r="F467" s="8"/>
    </row>
    <row r="468" spans="1:6" x14ac:dyDescent="0.25">
      <c r="A468" s="6"/>
      <c r="B468" s="7"/>
      <c r="C468" s="15"/>
      <c r="D468" s="9"/>
      <c r="E468" s="9"/>
      <c r="F468" s="8"/>
    </row>
    <row r="469" spans="1:6" x14ac:dyDescent="0.25">
      <c r="A469" s="6"/>
      <c r="B469" s="7"/>
      <c r="C469" s="15"/>
      <c r="D469" s="9"/>
      <c r="E469" s="9"/>
      <c r="F469" s="8"/>
    </row>
    <row r="470" spans="1:6" x14ac:dyDescent="0.25">
      <c r="A470" s="6"/>
      <c r="B470" s="7"/>
      <c r="C470" s="15"/>
      <c r="D470" s="9"/>
      <c r="E470" s="9"/>
      <c r="F470" s="8"/>
    </row>
    <row r="471" spans="1:6" x14ac:dyDescent="0.25">
      <c r="A471" s="6"/>
      <c r="B471" s="7"/>
      <c r="C471" s="15"/>
      <c r="D471" s="9"/>
      <c r="E471" s="9"/>
      <c r="F471" s="8"/>
    </row>
    <row r="472" spans="1:6" x14ac:dyDescent="0.25">
      <c r="A472" s="6"/>
      <c r="B472" s="7"/>
      <c r="C472" s="15"/>
      <c r="D472" s="9"/>
      <c r="E472" s="9"/>
      <c r="F472" s="8"/>
    </row>
    <row r="473" spans="1:6" x14ac:dyDescent="0.25">
      <c r="A473" s="6"/>
      <c r="B473" s="7"/>
      <c r="C473" s="15"/>
      <c r="D473" s="9"/>
      <c r="E473" s="9"/>
      <c r="F473" s="8"/>
    </row>
    <row r="474" spans="1:6" x14ac:dyDescent="0.25">
      <c r="A474" s="6"/>
      <c r="B474" s="7"/>
      <c r="C474" s="15"/>
      <c r="D474" s="9"/>
      <c r="E474" s="9"/>
      <c r="F474" s="8"/>
    </row>
    <row r="475" spans="1:6" x14ac:dyDescent="0.25">
      <c r="A475" s="6"/>
      <c r="B475" s="7"/>
      <c r="C475" s="15"/>
      <c r="D475" s="9"/>
      <c r="E475" s="9"/>
      <c r="F475" s="8"/>
    </row>
    <row r="476" spans="1:6" x14ac:dyDescent="0.25">
      <c r="A476" s="6"/>
      <c r="B476" s="7"/>
      <c r="C476" s="15"/>
      <c r="D476" s="9"/>
      <c r="E476" s="9"/>
      <c r="F476" s="8"/>
    </row>
    <row r="477" spans="1:6" x14ac:dyDescent="0.25">
      <c r="A477" s="6"/>
      <c r="B477" s="7"/>
      <c r="C477" s="15"/>
      <c r="D477" s="9"/>
      <c r="E477" s="9"/>
      <c r="F477" s="8"/>
    </row>
    <row r="478" spans="1:6" x14ac:dyDescent="0.25">
      <c r="A478" s="6"/>
      <c r="B478" s="7"/>
      <c r="C478" s="15"/>
      <c r="D478" s="9"/>
      <c r="E478" s="9"/>
      <c r="F478" s="8"/>
    </row>
    <row r="479" spans="1:6" x14ac:dyDescent="0.25">
      <c r="A479" s="6"/>
      <c r="B479" s="7"/>
      <c r="C479" s="15"/>
      <c r="D479" s="9"/>
      <c r="E479" s="9"/>
      <c r="F479" s="8"/>
    </row>
    <row r="480" spans="1:6" x14ac:dyDescent="0.25">
      <c r="A480" s="6"/>
      <c r="B480" s="7"/>
      <c r="C480" s="15"/>
      <c r="D480" s="9"/>
      <c r="E480" s="9"/>
      <c r="F480" s="8"/>
    </row>
    <row r="481" spans="1:6" x14ac:dyDescent="0.25">
      <c r="A481" s="6"/>
      <c r="B481" s="7"/>
      <c r="C481" s="15"/>
      <c r="D481" s="9"/>
      <c r="E481" s="9"/>
      <c r="F481" s="8"/>
    </row>
    <row r="482" spans="1:6" x14ac:dyDescent="0.25">
      <c r="A482" s="6"/>
      <c r="B482" s="7"/>
      <c r="C482" s="15"/>
      <c r="D482" s="9"/>
      <c r="E482" s="9"/>
      <c r="F482" s="8"/>
    </row>
    <row r="483" spans="1:6" x14ac:dyDescent="0.25">
      <c r="A483" s="6"/>
      <c r="B483" s="7"/>
      <c r="C483" s="15"/>
      <c r="D483" s="9"/>
      <c r="E483" s="9"/>
      <c r="F483" s="8"/>
    </row>
    <row r="484" spans="1:6" x14ac:dyDescent="0.25">
      <c r="A484" s="6"/>
      <c r="B484" s="7"/>
      <c r="C484" s="15"/>
      <c r="D484" s="9"/>
      <c r="E484" s="9"/>
      <c r="F484" s="8"/>
    </row>
    <row r="485" spans="1:6" x14ac:dyDescent="0.25">
      <c r="A485" s="6"/>
      <c r="B485" s="7"/>
      <c r="C485" s="15"/>
      <c r="D485" s="9"/>
      <c r="E485" s="9"/>
      <c r="F485" s="8"/>
    </row>
    <row r="486" spans="1:6" x14ac:dyDescent="0.25">
      <c r="A486" s="6"/>
      <c r="B486" s="7"/>
      <c r="C486" s="15"/>
      <c r="D486" s="9"/>
      <c r="E486" s="9"/>
      <c r="F486" s="8"/>
    </row>
    <row r="487" spans="1:6" x14ac:dyDescent="0.25">
      <c r="A487" s="6"/>
      <c r="B487" s="7"/>
      <c r="C487" s="15"/>
      <c r="D487" s="9"/>
      <c r="E487" s="9"/>
      <c r="F487" s="8"/>
    </row>
    <row r="488" spans="1:6" x14ac:dyDescent="0.25">
      <c r="A488" s="6"/>
      <c r="B488" s="7"/>
      <c r="C488" s="15"/>
      <c r="D488" s="9"/>
      <c r="E488" s="9"/>
      <c r="F488" s="8"/>
    </row>
    <row r="489" spans="1:6" x14ac:dyDescent="0.25">
      <c r="A489" s="6"/>
      <c r="B489" s="7"/>
      <c r="C489" s="15"/>
      <c r="D489" s="9"/>
      <c r="E489" s="9"/>
      <c r="F489" s="8"/>
    </row>
    <row r="490" spans="1:6" x14ac:dyDescent="0.25">
      <c r="A490" s="6"/>
      <c r="B490" s="7"/>
      <c r="C490" s="15"/>
      <c r="D490" s="9"/>
      <c r="E490" s="9"/>
      <c r="F490" s="8"/>
    </row>
    <row r="491" spans="1:6" x14ac:dyDescent="0.25">
      <c r="A491" s="6"/>
      <c r="B491" s="7"/>
      <c r="C491" s="15"/>
      <c r="D491" s="9"/>
      <c r="E491" s="9"/>
      <c r="F491" s="8"/>
    </row>
    <row r="492" spans="1:6" x14ac:dyDescent="0.25">
      <c r="A492" s="6"/>
      <c r="B492" s="7"/>
      <c r="C492" s="15"/>
      <c r="D492" s="9"/>
      <c r="E492" s="9"/>
      <c r="F492" s="8"/>
    </row>
    <row r="493" spans="1:6" x14ac:dyDescent="0.25">
      <c r="A493" s="6"/>
      <c r="B493" s="7"/>
      <c r="C493" s="15"/>
      <c r="D493" s="9"/>
      <c r="E493" s="9"/>
      <c r="F493" s="8"/>
    </row>
    <row r="494" spans="1:6" x14ac:dyDescent="0.25">
      <c r="A494" s="6"/>
      <c r="B494" s="7"/>
      <c r="C494" s="15"/>
      <c r="D494" s="9"/>
      <c r="E494" s="9"/>
      <c r="F494" s="8"/>
    </row>
    <row r="495" spans="1:6" x14ac:dyDescent="0.25">
      <c r="A495" s="6"/>
      <c r="B495" s="7"/>
      <c r="C495" s="15"/>
      <c r="D495" s="9"/>
      <c r="E495" s="9"/>
      <c r="F495" s="8"/>
    </row>
    <row r="496" spans="1:6" x14ac:dyDescent="0.25">
      <c r="A496" s="6"/>
      <c r="B496" s="7"/>
      <c r="C496" s="15"/>
      <c r="D496" s="9"/>
      <c r="E496" s="9"/>
      <c r="F496" s="8"/>
    </row>
    <row r="497" spans="1:6" x14ac:dyDescent="0.25">
      <c r="A497" s="6"/>
      <c r="B497" s="7"/>
      <c r="C497" s="15"/>
      <c r="D497" s="9"/>
      <c r="E497" s="9"/>
      <c r="F497" s="8"/>
    </row>
    <row r="498" spans="1:6" x14ac:dyDescent="0.25">
      <c r="A498" s="6"/>
      <c r="B498" s="7"/>
      <c r="C498" s="15"/>
      <c r="D498" s="9"/>
      <c r="E498" s="9"/>
      <c r="F498" s="8"/>
    </row>
    <row r="499" spans="1:6" x14ac:dyDescent="0.25">
      <c r="A499" s="6"/>
      <c r="B499" s="7"/>
      <c r="C499" s="15"/>
      <c r="D499" s="9"/>
      <c r="E499" s="9"/>
      <c r="F499" s="8"/>
    </row>
    <row r="500" spans="1:6" x14ac:dyDescent="0.25">
      <c r="A500" s="6"/>
      <c r="B500" s="7"/>
      <c r="C500" s="15"/>
      <c r="D500" s="9"/>
      <c r="E500" s="9"/>
      <c r="F500" s="8"/>
    </row>
    <row r="501" spans="1:6" x14ac:dyDescent="0.25">
      <c r="A501" s="6"/>
      <c r="B501" s="7"/>
      <c r="C501" s="15"/>
      <c r="D501" s="9"/>
      <c r="E501" s="9"/>
      <c r="F501" s="8"/>
    </row>
    <row r="502" spans="1:6" x14ac:dyDescent="0.25">
      <c r="A502" s="6"/>
      <c r="B502" s="7"/>
      <c r="C502" s="15"/>
      <c r="D502" s="9"/>
      <c r="E502" s="9"/>
      <c r="F502" s="8"/>
    </row>
    <row r="503" spans="1:6" x14ac:dyDescent="0.25">
      <c r="A503" s="6"/>
      <c r="B503" s="7"/>
      <c r="C503" s="15"/>
      <c r="D503" s="9"/>
      <c r="E503" s="9"/>
      <c r="F503" s="8"/>
    </row>
    <row r="504" spans="1:6" x14ac:dyDescent="0.25">
      <c r="A504" s="6"/>
      <c r="B504" s="7"/>
      <c r="C504" s="15"/>
      <c r="D504" s="9"/>
      <c r="E504" s="9"/>
      <c r="F504" s="8"/>
    </row>
    <row r="505" spans="1:6" x14ac:dyDescent="0.25">
      <c r="A505" s="6"/>
      <c r="B505" s="7"/>
      <c r="C505" s="15"/>
      <c r="D505" s="9"/>
      <c r="E505" s="9"/>
      <c r="F505" s="8"/>
    </row>
    <row r="506" spans="1:6" x14ac:dyDescent="0.25">
      <c r="A506" s="6"/>
      <c r="B506" s="7"/>
      <c r="C506" s="15"/>
      <c r="D506" s="9"/>
      <c r="E506" s="9"/>
      <c r="F506" s="8"/>
    </row>
    <row r="507" spans="1:6" x14ac:dyDescent="0.25">
      <c r="A507" s="6"/>
      <c r="B507" s="7"/>
      <c r="C507" s="15"/>
      <c r="D507" s="9"/>
      <c r="E507" s="9"/>
      <c r="F507" s="8"/>
    </row>
    <row r="508" spans="1:6" x14ac:dyDescent="0.25">
      <c r="A508" s="6"/>
      <c r="B508" s="7"/>
      <c r="C508" s="15"/>
      <c r="D508" s="9"/>
      <c r="E508" s="9"/>
      <c r="F508" s="8"/>
    </row>
    <row r="509" spans="1:6" x14ac:dyDescent="0.25">
      <c r="A509" s="6"/>
      <c r="B509" s="7"/>
      <c r="C509" s="15"/>
      <c r="D509" s="9"/>
      <c r="E509" s="9"/>
      <c r="F509" s="8"/>
    </row>
    <row r="510" spans="1:6" x14ac:dyDescent="0.25">
      <c r="A510" s="6"/>
      <c r="B510" s="7"/>
      <c r="C510" s="15"/>
      <c r="D510" s="9"/>
      <c r="E510" s="9"/>
      <c r="F510" s="8"/>
    </row>
    <row r="511" spans="1:6" x14ac:dyDescent="0.25">
      <c r="A511" s="6"/>
      <c r="B511" s="7"/>
      <c r="C511" s="15"/>
      <c r="D511" s="9"/>
      <c r="E511" s="9"/>
      <c r="F511" s="8"/>
    </row>
    <row r="512" spans="1:6" x14ac:dyDescent="0.25">
      <c r="A512" s="6"/>
      <c r="B512" s="7"/>
      <c r="C512" s="15"/>
      <c r="D512" s="9"/>
      <c r="E512" s="9"/>
      <c r="F512" s="8"/>
    </row>
    <row r="513" spans="1:6" x14ac:dyDescent="0.25">
      <c r="A513" s="6"/>
      <c r="B513" s="7"/>
      <c r="C513" s="15"/>
      <c r="D513" s="9"/>
      <c r="E513" s="9"/>
      <c r="F513" s="8"/>
    </row>
    <row r="514" spans="1:6" x14ac:dyDescent="0.25">
      <c r="A514" s="6"/>
      <c r="B514" s="7"/>
      <c r="C514" s="15"/>
      <c r="D514" s="9"/>
      <c r="E514" s="9"/>
      <c r="F514" s="8"/>
    </row>
    <row r="515" spans="1:6" x14ac:dyDescent="0.25">
      <c r="A515" s="6"/>
      <c r="B515" s="7"/>
      <c r="C515" s="15"/>
      <c r="D515" s="9"/>
      <c r="E515" s="9"/>
      <c r="F515" s="8"/>
    </row>
    <row r="516" spans="1:6" x14ac:dyDescent="0.25">
      <c r="A516" s="6"/>
      <c r="B516" s="7"/>
      <c r="C516" s="15"/>
      <c r="D516" s="9"/>
      <c r="E516" s="9"/>
      <c r="F516" s="8"/>
    </row>
    <row r="517" spans="1:6" x14ac:dyDescent="0.25">
      <c r="A517" s="6"/>
      <c r="B517" s="7"/>
      <c r="C517" s="15"/>
      <c r="D517" s="9"/>
      <c r="E517" s="9"/>
      <c r="F517" s="8"/>
    </row>
    <row r="518" spans="1:6" x14ac:dyDescent="0.25">
      <c r="A518" s="6"/>
      <c r="B518" s="7"/>
      <c r="C518" s="15"/>
      <c r="D518" s="9"/>
      <c r="E518" s="9"/>
      <c r="F518" s="8"/>
    </row>
    <row r="519" spans="1:6" x14ac:dyDescent="0.25">
      <c r="A519" s="6"/>
      <c r="B519" s="7"/>
      <c r="C519" s="15"/>
      <c r="D519" s="9"/>
      <c r="E519" s="9"/>
      <c r="F519" s="8"/>
    </row>
    <row r="520" spans="1:6" x14ac:dyDescent="0.25">
      <c r="A520" s="6"/>
      <c r="B520" s="7"/>
      <c r="C520" s="15"/>
      <c r="D520" s="9"/>
      <c r="E520" s="9"/>
      <c r="F520" s="8"/>
    </row>
    <row r="521" spans="1:6" x14ac:dyDescent="0.25">
      <c r="A521" s="6"/>
      <c r="B521" s="7"/>
      <c r="C521" s="15"/>
      <c r="D521" s="9"/>
      <c r="E521" s="9"/>
      <c r="F521" s="8"/>
    </row>
    <row r="522" spans="1:6" x14ac:dyDescent="0.25">
      <c r="A522" s="6"/>
      <c r="B522" s="7"/>
      <c r="C522" s="15"/>
      <c r="D522" s="9"/>
      <c r="E522" s="9"/>
      <c r="F522" s="8"/>
    </row>
    <row r="523" spans="1:6" x14ac:dyDescent="0.25">
      <c r="A523" s="6"/>
      <c r="B523" s="7"/>
      <c r="C523" s="15"/>
      <c r="D523" s="9"/>
      <c r="E523" s="9"/>
      <c r="F523" s="8"/>
    </row>
    <row r="524" spans="1:6" x14ac:dyDescent="0.25">
      <c r="A524" s="6"/>
      <c r="B524" s="7"/>
      <c r="C524" s="15"/>
      <c r="D524" s="9"/>
      <c r="E524" s="9"/>
      <c r="F524" s="8"/>
    </row>
    <row r="525" spans="1:6" x14ac:dyDescent="0.25">
      <c r="A525" s="6"/>
      <c r="B525" s="7"/>
      <c r="C525" s="15"/>
      <c r="D525" s="9"/>
      <c r="E525" s="9"/>
      <c r="F525" s="8"/>
    </row>
    <row r="526" spans="1:6" x14ac:dyDescent="0.25">
      <c r="A526" s="6"/>
      <c r="B526" s="7"/>
      <c r="C526" s="15"/>
      <c r="D526" s="9"/>
      <c r="E526" s="9"/>
      <c r="F526" s="8"/>
    </row>
    <row r="527" spans="1:6" x14ac:dyDescent="0.25">
      <c r="A527" s="6"/>
      <c r="B527" s="7"/>
      <c r="C527" s="15"/>
      <c r="D527" s="9"/>
      <c r="E527" s="9"/>
      <c r="F527" s="8"/>
    </row>
    <row r="528" spans="1:6" x14ac:dyDescent="0.25">
      <c r="A528" s="6"/>
      <c r="B528" s="7"/>
      <c r="C528" s="15"/>
      <c r="D528" s="9"/>
      <c r="E528" s="9"/>
      <c r="F528" s="8"/>
    </row>
    <row r="529" spans="1:6" x14ac:dyDescent="0.25">
      <c r="A529" s="6"/>
      <c r="B529" s="7"/>
      <c r="C529" s="15"/>
      <c r="D529" s="9"/>
      <c r="E529" s="9"/>
      <c r="F529" s="8"/>
    </row>
    <row r="530" spans="1:6" x14ac:dyDescent="0.25">
      <c r="A530" s="6"/>
      <c r="B530" s="7"/>
      <c r="C530" s="15"/>
      <c r="D530" s="9"/>
      <c r="E530" s="9"/>
      <c r="F530" s="8"/>
    </row>
    <row r="531" spans="1:6" x14ac:dyDescent="0.25">
      <c r="A531" s="6"/>
      <c r="B531" s="7"/>
      <c r="C531" s="15"/>
      <c r="D531" s="9"/>
      <c r="E531" s="9"/>
      <c r="F531" s="8"/>
    </row>
    <row r="532" spans="1:6" x14ac:dyDescent="0.25">
      <c r="A532" s="6"/>
      <c r="B532" s="7"/>
      <c r="C532" s="15"/>
      <c r="D532" s="9"/>
      <c r="E532" s="9"/>
      <c r="F532" s="8"/>
    </row>
    <row r="533" spans="1:6" x14ac:dyDescent="0.25">
      <c r="A533" s="6"/>
      <c r="B533" s="7"/>
      <c r="C533" s="15"/>
      <c r="D533" s="9"/>
      <c r="E533" s="9"/>
      <c r="F533" s="8"/>
    </row>
    <row r="534" spans="1:6" x14ac:dyDescent="0.25">
      <c r="A534" s="6"/>
      <c r="B534" s="7"/>
      <c r="C534" s="15"/>
      <c r="D534" s="9"/>
      <c r="E534" s="9"/>
      <c r="F534" s="8"/>
    </row>
    <row r="535" spans="1:6" x14ac:dyDescent="0.25">
      <c r="A535" s="6"/>
      <c r="B535" s="7"/>
      <c r="C535" s="15"/>
      <c r="D535" s="9"/>
      <c r="E535" s="9"/>
      <c r="F535" s="8"/>
    </row>
    <row r="536" spans="1:6" x14ac:dyDescent="0.25">
      <c r="A536" s="6"/>
      <c r="B536" s="7"/>
      <c r="C536" s="15"/>
      <c r="D536" s="9"/>
      <c r="E536" s="9"/>
      <c r="F536" s="8"/>
    </row>
    <row r="537" spans="1:6" x14ac:dyDescent="0.25">
      <c r="A537" s="6"/>
      <c r="B537" s="7"/>
      <c r="C537" s="15"/>
      <c r="D537" s="9"/>
      <c r="E537" s="9"/>
      <c r="F537" s="8"/>
    </row>
    <row r="538" spans="1:6" x14ac:dyDescent="0.25">
      <c r="A538" s="6"/>
      <c r="B538" s="7"/>
      <c r="C538" s="15"/>
      <c r="D538" s="9"/>
      <c r="E538" s="9"/>
      <c r="F538" s="8"/>
    </row>
    <row r="539" spans="1:6" x14ac:dyDescent="0.25">
      <c r="A539" s="6"/>
      <c r="B539" s="7"/>
      <c r="C539" s="15"/>
      <c r="D539" s="9"/>
      <c r="E539" s="9"/>
      <c r="F539" s="8"/>
    </row>
    <row r="540" spans="1:6" x14ac:dyDescent="0.25">
      <c r="A540" s="6"/>
      <c r="B540" s="7"/>
      <c r="C540" s="15"/>
      <c r="D540" s="9"/>
      <c r="E540" s="9"/>
      <c r="F540" s="8"/>
    </row>
    <row r="541" spans="1:6" x14ac:dyDescent="0.25">
      <c r="A541" s="6"/>
      <c r="B541" s="7"/>
      <c r="C541" s="15"/>
      <c r="D541" s="9"/>
      <c r="E541" s="9"/>
      <c r="F541" s="8"/>
    </row>
    <row r="542" spans="1:6" x14ac:dyDescent="0.25">
      <c r="A542" s="6"/>
      <c r="B542" s="7"/>
      <c r="C542" s="15"/>
      <c r="D542" s="9"/>
      <c r="E542" s="9"/>
      <c r="F542" s="8"/>
    </row>
    <row r="543" spans="1:6" x14ac:dyDescent="0.25">
      <c r="A543" s="6"/>
      <c r="B543" s="7"/>
      <c r="C543" s="15"/>
      <c r="D543" s="9"/>
      <c r="E543" s="9"/>
      <c r="F543" s="8"/>
    </row>
    <row r="544" spans="1:6" x14ac:dyDescent="0.25">
      <c r="A544" s="6"/>
      <c r="B544" s="7"/>
      <c r="C544" s="15"/>
      <c r="D544" s="9"/>
      <c r="E544" s="9"/>
      <c r="F544" s="8"/>
    </row>
    <row r="545" spans="1:6" x14ac:dyDescent="0.25">
      <c r="A545" s="6"/>
      <c r="B545" s="7"/>
      <c r="C545" s="15"/>
      <c r="D545" s="9"/>
      <c r="E545" s="9"/>
      <c r="F545" s="8"/>
    </row>
    <row r="546" spans="1:6" x14ac:dyDescent="0.25">
      <c r="A546" s="6"/>
      <c r="B546" s="7"/>
      <c r="C546" s="15"/>
      <c r="D546" s="9"/>
      <c r="E546" s="9"/>
      <c r="F546" s="8"/>
    </row>
    <row r="547" spans="1:6" x14ac:dyDescent="0.25">
      <c r="A547" s="6"/>
      <c r="B547" s="7"/>
      <c r="C547" s="15"/>
      <c r="D547" s="9"/>
      <c r="E547" s="9"/>
      <c r="F547" s="8"/>
    </row>
    <row r="548" spans="1:6" x14ac:dyDescent="0.25">
      <c r="A548" s="6"/>
      <c r="B548" s="7"/>
      <c r="C548" s="15"/>
      <c r="D548" s="9"/>
      <c r="E548" s="9"/>
      <c r="F548" s="8"/>
    </row>
    <row r="549" spans="1:6" x14ac:dyDescent="0.25">
      <c r="A549" s="6"/>
      <c r="B549" s="7"/>
      <c r="C549" s="15"/>
      <c r="D549" s="9"/>
      <c r="E549" s="9"/>
      <c r="F549" s="8"/>
    </row>
    <row r="550" spans="1:6" x14ac:dyDescent="0.25">
      <c r="A550" s="6"/>
      <c r="B550" s="7"/>
      <c r="C550" s="15"/>
      <c r="D550" s="9"/>
      <c r="E550" s="9"/>
      <c r="F550" s="8"/>
    </row>
    <row r="551" spans="1:6" x14ac:dyDescent="0.25">
      <c r="A551" s="6"/>
      <c r="B551" s="7"/>
      <c r="C551" s="15"/>
      <c r="D551" s="9"/>
      <c r="E551" s="9"/>
      <c r="F551" s="8"/>
    </row>
    <row r="552" spans="1:6" x14ac:dyDescent="0.25">
      <c r="A552" s="6"/>
      <c r="B552" s="7"/>
      <c r="C552" s="15"/>
      <c r="D552" s="9"/>
      <c r="E552" s="9"/>
      <c r="F552" s="8"/>
    </row>
    <row r="553" spans="1:6" x14ac:dyDescent="0.25">
      <c r="A553" s="6"/>
      <c r="B553" s="7"/>
      <c r="C553" s="15"/>
      <c r="D553" s="9"/>
      <c r="E553" s="9"/>
      <c r="F553" s="8"/>
    </row>
    <row r="554" spans="1:6" x14ac:dyDescent="0.25">
      <c r="A554" s="6"/>
      <c r="B554" s="7"/>
      <c r="C554" s="15"/>
      <c r="D554" s="9"/>
      <c r="E554" s="9"/>
      <c r="F554" s="8"/>
    </row>
    <row r="555" spans="1:6" x14ac:dyDescent="0.25">
      <c r="A555" s="6"/>
      <c r="B555" s="7"/>
      <c r="C555" s="15"/>
      <c r="D555" s="9"/>
      <c r="E555" s="9"/>
      <c r="F555" s="8"/>
    </row>
    <row r="556" spans="1:6" x14ac:dyDescent="0.25">
      <c r="A556" s="6"/>
      <c r="B556" s="7"/>
      <c r="C556" s="15"/>
      <c r="D556" s="9"/>
      <c r="E556" s="9"/>
      <c r="F556" s="8"/>
    </row>
    <row r="557" spans="1:6" x14ac:dyDescent="0.25">
      <c r="A557" s="6"/>
      <c r="B557" s="7"/>
      <c r="C557" s="15"/>
      <c r="D557" s="9"/>
      <c r="E557" s="9"/>
      <c r="F557" s="8"/>
    </row>
    <row r="558" spans="1:6" x14ac:dyDescent="0.25">
      <c r="A558" s="6"/>
      <c r="B558" s="7"/>
      <c r="C558" s="15"/>
      <c r="D558" s="9"/>
      <c r="E558" s="9"/>
      <c r="F558" s="8"/>
    </row>
    <row r="559" spans="1:6" x14ac:dyDescent="0.25">
      <c r="A559" s="6"/>
      <c r="B559" s="7"/>
      <c r="C559" s="15"/>
      <c r="D559" s="9"/>
      <c r="E559" s="9"/>
      <c r="F559" s="8"/>
    </row>
    <row r="560" spans="1:6" x14ac:dyDescent="0.25">
      <c r="A560" s="6"/>
      <c r="B560" s="7"/>
      <c r="C560" s="15"/>
      <c r="D560" s="9"/>
      <c r="E560" s="9"/>
      <c r="F560" s="8"/>
    </row>
    <row r="561" spans="1:6" x14ac:dyDescent="0.25">
      <c r="A561" s="6"/>
      <c r="B561" s="7"/>
      <c r="C561" s="15"/>
      <c r="D561" s="9"/>
      <c r="E561" s="9"/>
      <c r="F561" s="8"/>
    </row>
    <row r="562" spans="1:6" x14ac:dyDescent="0.25">
      <c r="A562" s="6"/>
      <c r="B562" s="7"/>
      <c r="C562" s="15"/>
      <c r="D562" s="9"/>
      <c r="E562" s="9"/>
      <c r="F562" s="8"/>
    </row>
    <row r="563" spans="1:6" x14ac:dyDescent="0.25">
      <c r="A563" s="6"/>
      <c r="B563" s="7"/>
      <c r="C563" s="15"/>
      <c r="D563" s="9"/>
      <c r="E563" s="9"/>
      <c r="F563" s="8"/>
    </row>
    <row r="564" spans="1:6" x14ac:dyDescent="0.25">
      <c r="A564" s="6"/>
      <c r="B564" s="7"/>
      <c r="C564" s="15"/>
      <c r="D564" s="9"/>
      <c r="E564" s="9"/>
      <c r="F564" s="8"/>
    </row>
    <row r="565" spans="1:6" x14ac:dyDescent="0.25">
      <c r="A565" s="6"/>
      <c r="B565" s="7"/>
      <c r="C565" s="15"/>
      <c r="D565" s="9"/>
      <c r="E565" s="9"/>
      <c r="F565" s="8"/>
    </row>
    <row r="566" spans="1:6" x14ac:dyDescent="0.25">
      <c r="A566" s="6"/>
      <c r="B566" s="7"/>
      <c r="C566" s="15"/>
      <c r="D566" s="9"/>
      <c r="E566" s="9"/>
      <c r="F566" s="8"/>
    </row>
    <row r="567" spans="1:6" x14ac:dyDescent="0.25">
      <c r="A567" s="6"/>
      <c r="B567" s="7"/>
      <c r="C567" s="15"/>
      <c r="D567" s="9"/>
      <c r="E567" s="9"/>
      <c r="F567" s="8"/>
    </row>
    <row r="568" spans="1:6" x14ac:dyDescent="0.25">
      <c r="A568" s="6"/>
      <c r="B568" s="7"/>
      <c r="C568" s="15"/>
      <c r="D568" s="9"/>
      <c r="E568" s="9"/>
      <c r="F568" s="8"/>
    </row>
    <row r="569" spans="1:6" x14ac:dyDescent="0.25">
      <c r="A569" s="6"/>
      <c r="B569" s="7"/>
      <c r="C569" s="15"/>
      <c r="D569" s="9"/>
      <c r="E569" s="9"/>
      <c r="F569" s="8"/>
    </row>
    <row r="570" spans="1:6" x14ac:dyDescent="0.25">
      <c r="A570" s="6"/>
      <c r="B570" s="7"/>
      <c r="C570" s="15"/>
      <c r="D570" s="9"/>
      <c r="E570" s="9"/>
      <c r="F570" s="8"/>
    </row>
    <row r="571" spans="1:6" x14ac:dyDescent="0.25">
      <c r="A571" s="6"/>
      <c r="B571" s="7"/>
      <c r="C571" s="15"/>
      <c r="D571" s="9"/>
      <c r="E571" s="9"/>
      <c r="F571" s="8"/>
    </row>
    <row r="572" spans="1:6" x14ac:dyDescent="0.25">
      <c r="A572" s="6"/>
      <c r="B572" s="7"/>
      <c r="C572" s="15"/>
      <c r="D572" s="9"/>
      <c r="E572" s="9"/>
      <c r="F572" s="8"/>
    </row>
    <row r="573" spans="1:6" x14ac:dyDescent="0.25">
      <c r="A573" s="6"/>
      <c r="B573" s="7"/>
      <c r="C573" s="15"/>
      <c r="D573" s="9"/>
      <c r="E573" s="9"/>
      <c r="F573" s="8"/>
    </row>
    <row r="574" spans="1:6" x14ac:dyDescent="0.25">
      <c r="A574" s="6"/>
      <c r="B574" s="7"/>
      <c r="C574" s="15"/>
      <c r="D574" s="9"/>
      <c r="E574" s="9"/>
      <c r="F574" s="8"/>
    </row>
    <row r="575" spans="1:6" x14ac:dyDescent="0.25">
      <c r="A575" s="6"/>
      <c r="B575" s="7"/>
      <c r="C575" s="15"/>
      <c r="D575" s="9"/>
      <c r="E575" s="9"/>
      <c r="F575" s="8"/>
    </row>
    <row r="576" spans="1:6" x14ac:dyDescent="0.25">
      <c r="A576" s="6"/>
      <c r="B576" s="7"/>
      <c r="C576" s="15"/>
      <c r="D576" s="9"/>
      <c r="E576" s="9"/>
      <c r="F576" s="8"/>
    </row>
    <row r="577" spans="1:6" x14ac:dyDescent="0.25">
      <c r="A577" s="6"/>
      <c r="B577" s="7"/>
      <c r="C577" s="15"/>
      <c r="D577" s="9"/>
      <c r="E577" s="9"/>
      <c r="F577" s="8"/>
    </row>
    <row r="578" spans="1:6" x14ac:dyDescent="0.25">
      <c r="A578" s="6"/>
      <c r="B578" s="7"/>
      <c r="C578" s="15"/>
      <c r="D578" s="9"/>
      <c r="E578" s="9"/>
      <c r="F578" s="8"/>
    </row>
    <row r="579" spans="1:6" x14ac:dyDescent="0.25">
      <c r="A579" s="6"/>
      <c r="B579" s="7"/>
      <c r="C579" s="15"/>
      <c r="D579" s="9"/>
      <c r="E579" s="9"/>
      <c r="F579" s="8"/>
    </row>
    <row r="580" spans="1:6" x14ac:dyDescent="0.25">
      <c r="A580" s="6"/>
      <c r="B580" s="7"/>
      <c r="C580" s="15"/>
      <c r="D580" s="9"/>
      <c r="E580" s="9"/>
      <c r="F580" s="8"/>
    </row>
    <row r="581" spans="1:6" x14ac:dyDescent="0.25">
      <c r="A581" s="6"/>
      <c r="B581" s="7"/>
      <c r="C581" s="15"/>
      <c r="D581" s="9"/>
      <c r="E581" s="9"/>
      <c r="F581" s="8"/>
    </row>
    <row r="582" spans="1:6" x14ac:dyDescent="0.25">
      <c r="A582" s="6"/>
      <c r="B582" s="7"/>
      <c r="C582" s="15"/>
      <c r="D582" s="9"/>
      <c r="E582" s="9"/>
      <c r="F582" s="8"/>
    </row>
    <row r="583" spans="1:6" x14ac:dyDescent="0.25">
      <c r="A583" s="6"/>
      <c r="B583" s="7"/>
      <c r="C583" s="15"/>
      <c r="D583" s="9"/>
      <c r="E583" s="9"/>
      <c r="F583" s="8"/>
    </row>
    <row r="584" spans="1:6" x14ac:dyDescent="0.25">
      <c r="A584" s="6"/>
      <c r="B584" s="7"/>
      <c r="C584" s="15"/>
      <c r="D584" s="9"/>
      <c r="E584" s="9"/>
      <c r="F584" s="8"/>
    </row>
    <row r="585" spans="1:6" x14ac:dyDescent="0.25">
      <c r="A585" s="6"/>
      <c r="B585" s="7"/>
      <c r="C585" s="15"/>
      <c r="D585" s="9"/>
      <c r="E585" s="9"/>
      <c r="F585" s="8"/>
    </row>
    <row r="586" spans="1:6" x14ac:dyDescent="0.25">
      <c r="A586" s="6"/>
      <c r="B586" s="7"/>
      <c r="C586" s="15"/>
      <c r="D586" s="9"/>
      <c r="E586" s="9"/>
      <c r="F586" s="8"/>
    </row>
    <row r="587" spans="1:6" x14ac:dyDescent="0.25">
      <c r="A587" s="6"/>
      <c r="B587" s="7"/>
      <c r="C587" s="15"/>
      <c r="D587" s="9"/>
      <c r="E587" s="9"/>
      <c r="F587" s="8"/>
    </row>
    <row r="588" spans="1:6" x14ac:dyDescent="0.25">
      <c r="A588" s="6"/>
      <c r="B588" s="7"/>
      <c r="C588" s="15"/>
      <c r="D588" s="9"/>
      <c r="E588" s="9"/>
      <c r="F588" s="8"/>
    </row>
    <row r="589" spans="1:6" x14ac:dyDescent="0.25">
      <c r="A589" s="6"/>
      <c r="B589" s="7"/>
      <c r="C589" s="15"/>
      <c r="D589" s="9"/>
      <c r="E589" s="9"/>
      <c r="F589" s="8"/>
    </row>
    <row r="590" spans="1:6" x14ac:dyDescent="0.25">
      <c r="A590" s="6"/>
      <c r="B590" s="7"/>
      <c r="C590" s="15"/>
      <c r="D590" s="9"/>
      <c r="E590" s="9"/>
      <c r="F590" s="8"/>
    </row>
    <row r="591" spans="1:6" x14ac:dyDescent="0.25">
      <c r="A591" s="6"/>
      <c r="B591" s="7"/>
      <c r="C591" s="15"/>
      <c r="D591" s="9"/>
      <c r="E591" s="9"/>
      <c r="F591" s="8"/>
    </row>
    <row r="592" spans="1:6" x14ac:dyDescent="0.25">
      <c r="A592" s="6"/>
      <c r="B592" s="7"/>
      <c r="C592" s="15"/>
      <c r="D592" s="9"/>
      <c r="E592" s="9"/>
      <c r="F592" s="8"/>
    </row>
    <row r="593" spans="1:6" x14ac:dyDescent="0.25">
      <c r="A593" s="6"/>
      <c r="B593" s="7"/>
      <c r="C593" s="15"/>
      <c r="D593" s="9"/>
      <c r="E593" s="9"/>
      <c r="F593" s="8"/>
    </row>
    <row r="594" spans="1:6" x14ac:dyDescent="0.25">
      <c r="A594" s="6"/>
      <c r="B594" s="7"/>
      <c r="C594" s="15"/>
      <c r="D594" s="9"/>
      <c r="E594" s="9"/>
      <c r="F594" s="8"/>
    </row>
    <row r="595" spans="1:6" x14ac:dyDescent="0.25">
      <c r="A595" s="6"/>
      <c r="B595" s="7"/>
      <c r="C595" s="15"/>
      <c r="D595" s="9"/>
      <c r="E595" s="9"/>
      <c r="F595" s="8"/>
    </row>
    <row r="596" spans="1:6" x14ac:dyDescent="0.25">
      <c r="A596" s="6"/>
      <c r="B596" s="7"/>
      <c r="C596" s="15"/>
      <c r="D596" s="9"/>
      <c r="E596" s="9"/>
      <c r="F596" s="8"/>
    </row>
    <row r="597" spans="1:6" x14ac:dyDescent="0.25">
      <c r="A597" s="6"/>
      <c r="B597" s="7"/>
      <c r="C597" s="15"/>
      <c r="D597" s="9"/>
      <c r="E597" s="9"/>
      <c r="F597" s="8"/>
    </row>
    <row r="598" spans="1:6" x14ac:dyDescent="0.25">
      <c r="A598" s="6"/>
      <c r="B598" s="7"/>
      <c r="C598" s="15"/>
      <c r="D598" s="9"/>
      <c r="E598" s="9"/>
      <c r="F598" s="8"/>
    </row>
    <row r="599" spans="1:6" x14ac:dyDescent="0.25">
      <c r="A599" s="6"/>
      <c r="B599" s="7"/>
      <c r="C599" s="15"/>
      <c r="D599" s="9"/>
      <c r="E599" s="9"/>
      <c r="F599" s="8"/>
    </row>
    <row r="600" spans="1:6" x14ac:dyDescent="0.25">
      <c r="A600" s="6"/>
      <c r="B600" s="7"/>
      <c r="C600" s="15"/>
      <c r="D600" s="9"/>
      <c r="E600" s="9"/>
      <c r="F600" s="8"/>
    </row>
    <row r="601" spans="1:6" x14ac:dyDescent="0.25">
      <c r="A601" s="6"/>
      <c r="B601" s="7"/>
      <c r="C601" s="15"/>
      <c r="D601" s="9"/>
      <c r="E601" s="9"/>
      <c r="F601" s="8"/>
    </row>
    <row r="602" spans="1:6" x14ac:dyDescent="0.25">
      <c r="A602" s="6"/>
      <c r="B602" s="7"/>
      <c r="C602" s="15"/>
      <c r="D602" s="9"/>
      <c r="E602" s="9"/>
      <c r="F602" s="8"/>
    </row>
    <row r="603" spans="1:6" x14ac:dyDescent="0.25">
      <c r="A603" s="6"/>
      <c r="B603" s="7"/>
      <c r="C603" s="15"/>
      <c r="D603" s="9"/>
      <c r="E603" s="9"/>
      <c r="F603" s="8"/>
    </row>
    <row r="604" spans="1:6" x14ac:dyDescent="0.25">
      <c r="A604" s="6"/>
      <c r="B604" s="7"/>
      <c r="C604" s="15"/>
      <c r="D604" s="9"/>
      <c r="E604" s="9"/>
      <c r="F604" s="8"/>
    </row>
    <row r="605" spans="1:6" x14ac:dyDescent="0.25">
      <c r="A605" s="6"/>
      <c r="B605" s="7"/>
      <c r="C605" s="15"/>
      <c r="D605" s="9"/>
      <c r="E605" s="9"/>
      <c r="F605" s="8"/>
    </row>
    <row r="606" spans="1:6" x14ac:dyDescent="0.25">
      <c r="A606" s="6"/>
      <c r="B606" s="7"/>
      <c r="C606" s="15"/>
      <c r="D606" s="9"/>
      <c r="E606" s="9"/>
      <c r="F606" s="8"/>
    </row>
    <row r="607" spans="1:6" x14ac:dyDescent="0.25">
      <c r="A607" s="6"/>
      <c r="B607" s="7"/>
      <c r="C607" s="15"/>
      <c r="D607" s="9"/>
      <c r="E607" s="9"/>
      <c r="F607" s="8"/>
    </row>
    <row r="608" spans="1:6" x14ac:dyDescent="0.25">
      <c r="A608" s="6"/>
      <c r="B608" s="7"/>
      <c r="C608" s="15"/>
      <c r="D608" s="9"/>
      <c r="E608" s="9"/>
      <c r="F608" s="8"/>
    </row>
    <row r="609" spans="1:6" x14ac:dyDescent="0.25">
      <c r="A609" s="6"/>
      <c r="B609" s="7"/>
      <c r="C609" s="15"/>
      <c r="D609" s="9"/>
      <c r="E609" s="9"/>
      <c r="F609" s="8"/>
    </row>
    <row r="610" spans="1:6" x14ac:dyDescent="0.25">
      <c r="A610" s="6"/>
      <c r="B610" s="7"/>
      <c r="C610" s="15"/>
      <c r="D610" s="9"/>
      <c r="E610" s="9"/>
      <c r="F610" s="8"/>
    </row>
    <row r="611" spans="1:6" x14ac:dyDescent="0.25">
      <c r="A611" s="6"/>
      <c r="B611" s="7"/>
      <c r="C611" s="15"/>
      <c r="D611" s="9"/>
      <c r="E611" s="9"/>
      <c r="F611" s="8"/>
    </row>
    <row r="612" spans="1:6" x14ac:dyDescent="0.25">
      <c r="A612" s="6"/>
      <c r="B612" s="7"/>
      <c r="C612" s="15"/>
      <c r="D612" s="9"/>
      <c r="E612" s="9"/>
      <c r="F612" s="8"/>
    </row>
    <row r="613" spans="1:6" x14ac:dyDescent="0.25">
      <c r="A613" s="6"/>
      <c r="B613" s="7"/>
      <c r="C613" s="15"/>
      <c r="D613" s="9"/>
      <c r="E613" s="9"/>
      <c r="F613" s="8"/>
    </row>
    <row r="614" spans="1:6" x14ac:dyDescent="0.25">
      <c r="A614" s="6"/>
      <c r="B614" s="7"/>
      <c r="C614" s="15"/>
      <c r="D614" s="9"/>
      <c r="E614" s="9"/>
      <c r="F614" s="8"/>
    </row>
    <row r="615" spans="1:6" x14ac:dyDescent="0.25">
      <c r="A615" s="6"/>
      <c r="B615" s="7"/>
      <c r="C615" s="15"/>
      <c r="D615" s="9"/>
      <c r="E615" s="9"/>
      <c r="F615" s="8"/>
    </row>
    <row r="616" spans="1:6" x14ac:dyDescent="0.25">
      <c r="A616" s="6"/>
      <c r="B616" s="7"/>
      <c r="C616" s="15"/>
      <c r="D616" s="9"/>
      <c r="E616" s="9"/>
      <c r="F616" s="8"/>
    </row>
    <row r="617" spans="1:6" x14ac:dyDescent="0.25">
      <c r="A617" s="6"/>
      <c r="B617" s="7"/>
      <c r="C617" s="15"/>
      <c r="D617" s="9"/>
      <c r="E617" s="9"/>
      <c r="F617" s="8"/>
    </row>
    <row r="618" spans="1:6" x14ac:dyDescent="0.25">
      <c r="A618" s="6"/>
      <c r="B618" s="7"/>
      <c r="C618" s="15"/>
      <c r="D618" s="9"/>
      <c r="E618" s="9"/>
      <c r="F618" s="8"/>
    </row>
    <row r="619" spans="1:6" x14ac:dyDescent="0.25">
      <c r="A619" s="6"/>
      <c r="B619" s="7"/>
      <c r="C619" s="15"/>
      <c r="D619" s="9"/>
      <c r="E619" s="9"/>
      <c r="F619" s="8"/>
    </row>
    <row r="620" spans="1:6" x14ac:dyDescent="0.25">
      <c r="A620" s="6"/>
      <c r="B620" s="7"/>
      <c r="C620" s="15"/>
      <c r="D620" s="9"/>
      <c r="E620" s="9"/>
      <c r="F620" s="8"/>
    </row>
    <row r="621" spans="1:6" x14ac:dyDescent="0.25">
      <c r="A621" s="6"/>
      <c r="B621" s="7"/>
      <c r="C621" s="15"/>
      <c r="D621" s="9"/>
      <c r="E621" s="9"/>
      <c r="F621" s="8"/>
    </row>
    <row r="622" spans="1:6" x14ac:dyDescent="0.25">
      <c r="A622" s="6"/>
      <c r="B622" s="7"/>
      <c r="C622" s="15"/>
      <c r="D622" s="9"/>
      <c r="E622" s="9"/>
      <c r="F622" s="8"/>
    </row>
    <row r="623" spans="1:6" x14ac:dyDescent="0.25">
      <c r="A623" s="6"/>
      <c r="B623" s="7"/>
      <c r="C623" s="15"/>
      <c r="D623" s="9"/>
      <c r="E623" s="9"/>
      <c r="F623" s="8"/>
    </row>
    <row r="624" spans="1:6" x14ac:dyDescent="0.25">
      <c r="A624" s="6"/>
      <c r="B624" s="7"/>
      <c r="C624" s="15"/>
      <c r="D624" s="9"/>
      <c r="E624" s="9"/>
      <c r="F624" s="8"/>
    </row>
    <row r="625" spans="1:6" x14ac:dyDescent="0.25">
      <c r="A625" s="6"/>
      <c r="B625" s="7"/>
      <c r="C625" s="15"/>
      <c r="D625" s="9"/>
      <c r="E625" s="9"/>
      <c r="F625" s="8"/>
    </row>
    <row r="626" spans="1:6" x14ac:dyDescent="0.25">
      <c r="A626" s="6"/>
      <c r="B626" s="7"/>
      <c r="C626" s="15"/>
      <c r="D626" s="9"/>
      <c r="E626" s="9"/>
      <c r="F626" s="8"/>
    </row>
    <row r="627" spans="1:6" x14ac:dyDescent="0.25">
      <c r="A627" s="6"/>
      <c r="B627" s="7"/>
      <c r="C627" s="15"/>
      <c r="D627" s="9"/>
      <c r="E627" s="9"/>
      <c r="F627" s="8"/>
    </row>
    <row r="628" spans="1:6" x14ac:dyDescent="0.25">
      <c r="A628" s="6"/>
      <c r="B628" s="7"/>
      <c r="C628" s="15"/>
      <c r="D628" s="9"/>
      <c r="E628" s="9"/>
      <c r="F628" s="8"/>
    </row>
    <row r="629" spans="1:6" x14ac:dyDescent="0.25">
      <c r="A629" s="6"/>
      <c r="B629" s="7"/>
      <c r="C629" s="15"/>
      <c r="D629" s="9"/>
      <c r="E629" s="9"/>
      <c r="F629" s="8"/>
    </row>
    <row r="630" spans="1:6" x14ac:dyDescent="0.25">
      <c r="A630" s="6"/>
      <c r="B630" s="7"/>
      <c r="C630" s="15"/>
      <c r="D630" s="9"/>
      <c r="E630" s="9"/>
      <c r="F630" s="8"/>
    </row>
    <row r="631" spans="1:6" x14ac:dyDescent="0.25">
      <c r="A631" s="6"/>
      <c r="B631" s="7"/>
      <c r="C631" s="15"/>
      <c r="D631" s="9"/>
      <c r="E631" s="9"/>
      <c r="F631" s="8"/>
    </row>
    <row r="632" spans="1:6" x14ac:dyDescent="0.25">
      <c r="A632" s="6"/>
      <c r="B632" s="7"/>
      <c r="C632" s="15"/>
      <c r="D632" s="9"/>
      <c r="E632" s="9"/>
      <c r="F632" s="8"/>
    </row>
    <row r="633" spans="1:6" x14ac:dyDescent="0.25">
      <c r="A633" s="6"/>
      <c r="B633" s="7"/>
      <c r="C633" s="15"/>
      <c r="D633" s="9"/>
      <c r="E633" s="9"/>
      <c r="F633" s="8"/>
    </row>
    <row r="634" spans="1:6" x14ac:dyDescent="0.25">
      <c r="A634" s="6"/>
      <c r="B634" s="7"/>
      <c r="C634" s="15"/>
      <c r="D634" s="9"/>
      <c r="E634" s="9"/>
      <c r="F634" s="8"/>
    </row>
    <row r="635" spans="1:6" x14ac:dyDescent="0.25">
      <c r="A635" s="6"/>
      <c r="B635" s="7"/>
      <c r="C635" s="15"/>
      <c r="D635" s="9"/>
      <c r="E635" s="9"/>
      <c r="F635" s="8"/>
    </row>
    <row r="636" spans="1:6" x14ac:dyDescent="0.25">
      <c r="A636" s="6"/>
      <c r="B636" s="7"/>
      <c r="C636" s="15"/>
      <c r="D636" s="9"/>
      <c r="E636" s="9"/>
      <c r="F636" s="8"/>
    </row>
    <row r="637" spans="1:6" x14ac:dyDescent="0.25">
      <c r="A637" s="6"/>
      <c r="B637" s="7"/>
      <c r="C637" s="15"/>
      <c r="D637" s="9"/>
      <c r="E637" s="9"/>
      <c r="F637" s="8"/>
    </row>
    <row r="638" spans="1:6" x14ac:dyDescent="0.25">
      <c r="A638" s="6"/>
      <c r="B638" s="7"/>
      <c r="C638" s="15"/>
      <c r="D638" s="9"/>
      <c r="E638" s="9"/>
      <c r="F638" s="8"/>
    </row>
    <row r="639" spans="1:6" x14ac:dyDescent="0.25">
      <c r="A639" s="6"/>
      <c r="B639" s="7"/>
      <c r="C639" s="15"/>
      <c r="D639" s="9"/>
      <c r="E639" s="9"/>
      <c r="F639" s="8"/>
    </row>
    <row r="640" spans="1:6" x14ac:dyDescent="0.25">
      <c r="A640" s="6"/>
      <c r="B640" s="7"/>
      <c r="C640" s="15"/>
      <c r="D640" s="9"/>
      <c r="E640" s="9"/>
      <c r="F640" s="8"/>
    </row>
    <row r="641" spans="1:6" x14ac:dyDescent="0.25">
      <c r="A641" s="6"/>
      <c r="B641" s="7"/>
      <c r="C641" s="15"/>
      <c r="D641" s="9"/>
      <c r="E641" s="9"/>
      <c r="F641" s="8"/>
    </row>
    <row r="642" spans="1:6" x14ac:dyDescent="0.25">
      <c r="A642" s="6"/>
      <c r="B642" s="7"/>
      <c r="C642" s="15"/>
      <c r="D642" s="9"/>
      <c r="E642" s="9"/>
      <c r="F642" s="8"/>
    </row>
    <row r="643" spans="1:6" x14ac:dyDescent="0.25">
      <c r="A643" s="6"/>
      <c r="B643" s="7"/>
      <c r="C643" s="15"/>
      <c r="D643" s="9"/>
      <c r="E643" s="9"/>
      <c r="F643" s="8"/>
    </row>
    <row r="644" spans="1:6" x14ac:dyDescent="0.25">
      <c r="A644" s="6"/>
      <c r="B644" s="7"/>
      <c r="C644" s="15"/>
      <c r="D644" s="9"/>
      <c r="E644" s="9"/>
      <c r="F644" s="8"/>
    </row>
    <row r="645" spans="1:6" x14ac:dyDescent="0.25">
      <c r="A645" s="6"/>
      <c r="B645" s="7"/>
      <c r="C645" s="15"/>
      <c r="D645" s="9"/>
      <c r="E645" s="9"/>
      <c r="F645" s="8"/>
    </row>
    <row r="646" spans="1:6" x14ac:dyDescent="0.25">
      <c r="A646" s="6"/>
      <c r="B646" s="7"/>
      <c r="C646" s="15"/>
      <c r="D646" s="9"/>
      <c r="E646" s="9"/>
      <c r="F646" s="8"/>
    </row>
    <row r="647" spans="1:6" x14ac:dyDescent="0.25">
      <c r="A647" s="6"/>
      <c r="B647" s="7"/>
      <c r="C647" s="15"/>
      <c r="D647" s="9"/>
      <c r="E647" s="9"/>
      <c r="F647" s="8"/>
    </row>
    <row r="648" spans="1:6" x14ac:dyDescent="0.25">
      <c r="A648" s="6"/>
      <c r="B648" s="7"/>
      <c r="C648" s="15"/>
      <c r="D648" s="9"/>
      <c r="E648" s="9"/>
      <c r="F648" s="8"/>
    </row>
    <row r="649" spans="1:6" x14ac:dyDescent="0.25">
      <c r="A649" s="6"/>
      <c r="B649" s="7"/>
      <c r="C649" s="15"/>
      <c r="D649" s="9"/>
      <c r="E649" s="9"/>
      <c r="F649" s="8"/>
    </row>
    <row r="650" spans="1:6" x14ac:dyDescent="0.25">
      <c r="A650" s="6"/>
      <c r="B650" s="7"/>
      <c r="C650" s="15"/>
      <c r="D650" s="9"/>
      <c r="E650" s="9"/>
      <c r="F650" s="8"/>
    </row>
    <row r="651" spans="1:6" x14ac:dyDescent="0.25">
      <c r="A651" s="6"/>
      <c r="B651" s="7"/>
      <c r="C651" s="15"/>
      <c r="D651" s="9"/>
      <c r="E651" s="9"/>
      <c r="F651" s="8"/>
    </row>
    <row r="652" spans="1:6" x14ac:dyDescent="0.25">
      <c r="A652" s="6"/>
      <c r="B652" s="7"/>
      <c r="C652" s="15"/>
      <c r="D652" s="9"/>
      <c r="E652" s="9"/>
      <c r="F652" s="8"/>
    </row>
    <row r="653" spans="1:6" x14ac:dyDescent="0.25">
      <c r="A653" s="6"/>
      <c r="B653" s="7"/>
      <c r="C653" s="15"/>
      <c r="D653" s="9"/>
      <c r="E653" s="9"/>
      <c r="F653" s="8"/>
    </row>
    <row r="654" spans="1:6" x14ac:dyDescent="0.25">
      <c r="A654" s="6"/>
      <c r="B654" s="7"/>
      <c r="C654" s="15"/>
      <c r="D654" s="9"/>
      <c r="E654" s="9"/>
      <c r="F654" s="8"/>
    </row>
    <row r="655" spans="1:6" x14ac:dyDescent="0.25">
      <c r="A655" s="6"/>
      <c r="B655" s="7"/>
      <c r="C655" s="15"/>
      <c r="D655" s="9"/>
      <c r="E655" s="9"/>
      <c r="F655" s="8"/>
    </row>
    <row r="656" spans="1:6" x14ac:dyDescent="0.25">
      <c r="A656" s="6"/>
      <c r="B656" s="7"/>
      <c r="C656" s="15"/>
      <c r="D656" s="9"/>
      <c r="E656" s="9"/>
      <c r="F656" s="8"/>
    </row>
    <row r="657" spans="1:6" x14ac:dyDescent="0.25">
      <c r="A657" s="6"/>
      <c r="B657" s="7"/>
      <c r="C657" s="15"/>
      <c r="D657" s="9"/>
      <c r="E657" s="9"/>
      <c r="F657" s="8"/>
    </row>
    <row r="658" spans="1:6" x14ac:dyDescent="0.25">
      <c r="A658" s="6"/>
      <c r="B658" s="7"/>
      <c r="C658" s="15"/>
      <c r="D658" s="9"/>
      <c r="E658" s="9"/>
      <c r="F658" s="8"/>
    </row>
    <row r="659" spans="1:6" x14ac:dyDescent="0.25">
      <c r="A659" s="6"/>
      <c r="B659" s="7"/>
      <c r="C659" s="15"/>
      <c r="D659" s="9"/>
      <c r="E659" s="9"/>
      <c r="F659" s="8"/>
    </row>
    <row r="660" spans="1:6" x14ac:dyDescent="0.25">
      <c r="A660" s="6"/>
      <c r="B660" s="7"/>
      <c r="C660" s="15"/>
      <c r="D660" s="9"/>
      <c r="E660" s="9"/>
      <c r="F660" s="8"/>
    </row>
    <row r="661" spans="1:6" x14ac:dyDescent="0.25">
      <c r="A661" s="6"/>
      <c r="B661" s="7"/>
      <c r="C661" s="15"/>
      <c r="D661" s="9"/>
      <c r="E661" s="9"/>
      <c r="F661" s="8"/>
    </row>
    <row r="662" spans="1:6" x14ac:dyDescent="0.25">
      <c r="A662" s="6"/>
      <c r="B662" s="7"/>
      <c r="C662" s="15"/>
      <c r="D662" s="9"/>
      <c r="E662" s="9"/>
      <c r="F662" s="8"/>
    </row>
    <row r="663" spans="1:6" x14ac:dyDescent="0.25">
      <c r="A663" s="6"/>
      <c r="B663" s="7"/>
      <c r="C663" s="15"/>
      <c r="D663" s="9"/>
      <c r="E663" s="9"/>
      <c r="F663" s="8"/>
    </row>
    <row r="664" spans="1:6" x14ac:dyDescent="0.25">
      <c r="A664" s="6"/>
      <c r="B664" s="7"/>
      <c r="C664" s="15"/>
      <c r="D664" s="9"/>
      <c r="E664" s="9"/>
      <c r="F664" s="8"/>
    </row>
    <row r="665" spans="1:6" x14ac:dyDescent="0.25">
      <c r="A665" s="6"/>
      <c r="B665" s="7"/>
      <c r="C665" s="15"/>
      <c r="D665" s="9"/>
      <c r="E665" s="9"/>
      <c r="F665" s="8"/>
    </row>
    <row r="666" spans="1:6" x14ac:dyDescent="0.25">
      <c r="A666" s="6"/>
      <c r="B666" s="7"/>
      <c r="C666" s="15"/>
      <c r="D666" s="9"/>
      <c r="E666" s="9"/>
      <c r="F666" s="8"/>
    </row>
    <row r="667" spans="1:6" x14ac:dyDescent="0.25">
      <c r="A667" s="6"/>
      <c r="B667" s="7"/>
      <c r="C667" s="15"/>
      <c r="D667" s="9"/>
      <c r="E667" s="9"/>
      <c r="F667" s="8"/>
    </row>
    <row r="668" spans="1:6" x14ac:dyDescent="0.25">
      <c r="A668" s="6"/>
      <c r="B668" s="7"/>
      <c r="C668" s="15"/>
      <c r="D668" s="9"/>
      <c r="E668" s="9"/>
      <c r="F668" s="8"/>
    </row>
    <row r="669" spans="1:6" x14ac:dyDescent="0.25">
      <c r="A669" s="6"/>
      <c r="B669" s="7"/>
      <c r="C669" s="15"/>
      <c r="D669" s="9"/>
      <c r="E669" s="9"/>
      <c r="F669" s="8"/>
    </row>
    <row r="670" spans="1:6" x14ac:dyDescent="0.25">
      <c r="A670" s="6"/>
      <c r="B670" s="7"/>
      <c r="C670" s="15"/>
      <c r="D670" s="9"/>
      <c r="E670" s="9"/>
      <c r="F670" s="8"/>
    </row>
    <row r="671" spans="1:6" x14ac:dyDescent="0.25">
      <c r="A671" s="6"/>
      <c r="B671" s="7"/>
      <c r="C671" s="15"/>
      <c r="D671" s="9"/>
      <c r="E671" s="9"/>
      <c r="F671" s="8"/>
    </row>
    <row r="672" spans="1:6" x14ac:dyDescent="0.25">
      <c r="A672" s="6"/>
      <c r="B672" s="7"/>
      <c r="C672" s="15"/>
      <c r="D672" s="9"/>
      <c r="E672" s="9"/>
      <c r="F672" s="8"/>
    </row>
    <row r="673" spans="1:6" x14ac:dyDescent="0.25">
      <c r="A673" s="6"/>
      <c r="B673" s="7"/>
      <c r="C673" s="15"/>
      <c r="D673" s="9"/>
      <c r="E673" s="9"/>
      <c r="F673" s="8"/>
    </row>
    <row r="674" spans="1:6" x14ac:dyDescent="0.25">
      <c r="A674" s="6"/>
      <c r="B674" s="7"/>
      <c r="C674" s="15"/>
      <c r="D674" s="9"/>
      <c r="E674" s="9"/>
      <c r="F674" s="8"/>
    </row>
    <row r="675" spans="1:6" x14ac:dyDescent="0.25">
      <c r="A675" s="6"/>
      <c r="B675" s="7"/>
      <c r="C675" s="15"/>
      <c r="D675" s="9"/>
      <c r="E675" s="9"/>
      <c r="F675" s="8"/>
    </row>
    <row r="676" spans="1:6" x14ac:dyDescent="0.25">
      <c r="A676" s="6"/>
      <c r="B676" s="7"/>
      <c r="C676" s="15"/>
      <c r="D676" s="9"/>
      <c r="E676" s="9"/>
      <c r="F676" s="8"/>
    </row>
    <row r="677" spans="1:6" x14ac:dyDescent="0.25">
      <c r="A677" s="6"/>
      <c r="B677" s="7"/>
      <c r="C677" s="15"/>
      <c r="D677" s="9"/>
      <c r="E677" s="9"/>
      <c r="F677" s="8"/>
    </row>
    <row r="678" spans="1:6" x14ac:dyDescent="0.25">
      <c r="A678" s="6"/>
      <c r="B678" s="7"/>
      <c r="C678" s="15"/>
      <c r="D678" s="9"/>
      <c r="E678" s="9"/>
      <c r="F678" s="8"/>
    </row>
    <row r="679" spans="1:6" x14ac:dyDescent="0.25">
      <c r="A679" s="6"/>
      <c r="B679" s="7"/>
      <c r="C679" s="15"/>
      <c r="D679" s="9"/>
      <c r="E679" s="9"/>
      <c r="F679" s="8"/>
    </row>
    <row r="680" spans="1:6" x14ac:dyDescent="0.25">
      <c r="A680" s="6"/>
      <c r="B680" s="7"/>
      <c r="C680" s="15"/>
      <c r="D680" s="9"/>
      <c r="E680" s="9"/>
      <c r="F680" s="8"/>
    </row>
    <row r="681" spans="1:6" x14ac:dyDescent="0.25">
      <c r="A681" s="6"/>
      <c r="B681" s="7"/>
      <c r="C681" s="15"/>
      <c r="D681" s="9"/>
      <c r="E681" s="9"/>
      <c r="F681" s="8"/>
    </row>
    <row r="682" spans="1:6" x14ac:dyDescent="0.25">
      <c r="A682" s="6"/>
      <c r="B682" s="7"/>
      <c r="C682" s="15"/>
      <c r="D682" s="9"/>
      <c r="E682" s="9"/>
      <c r="F682" s="8"/>
    </row>
    <row r="683" spans="1:6" x14ac:dyDescent="0.25">
      <c r="A683" s="6"/>
      <c r="B683" s="7"/>
      <c r="C683" s="15"/>
      <c r="D683" s="9"/>
      <c r="E683" s="9"/>
      <c r="F683" s="8"/>
    </row>
    <row r="684" spans="1:6" x14ac:dyDescent="0.25">
      <c r="A684" s="6"/>
      <c r="B684" s="7"/>
      <c r="C684" s="15"/>
      <c r="D684" s="9"/>
      <c r="E684" s="9"/>
      <c r="F684" s="8"/>
    </row>
    <row r="685" spans="1:6" x14ac:dyDescent="0.25">
      <c r="A685" s="6"/>
      <c r="B685" s="7"/>
      <c r="C685" s="15"/>
      <c r="D685" s="9"/>
      <c r="E685" s="9"/>
      <c r="F685" s="8"/>
    </row>
    <row r="686" spans="1:6" x14ac:dyDescent="0.25">
      <c r="A686" s="6"/>
      <c r="B686" s="7"/>
      <c r="C686" s="15"/>
      <c r="D686" s="9"/>
      <c r="E686" s="9"/>
      <c r="F686" s="8"/>
    </row>
    <row r="687" spans="1:6" x14ac:dyDescent="0.25">
      <c r="A687" s="6"/>
      <c r="B687" s="7"/>
      <c r="C687" s="15"/>
      <c r="D687" s="9"/>
      <c r="E687" s="9"/>
      <c r="F687" s="8"/>
    </row>
    <row r="688" spans="1:6" x14ac:dyDescent="0.25">
      <c r="A688" s="6"/>
      <c r="B688" s="7"/>
      <c r="C688" s="15"/>
      <c r="D688" s="9"/>
      <c r="E688" s="9"/>
      <c r="F688" s="8"/>
    </row>
    <row r="689" spans="1:6" x14ac:dyDescent="0.25">
      <c r="A689" s="6"/>
      <c r="B689" s="7"/>
      <c r="C689" s="15"/>
      <c r="D689" s="9"/>
      <c r="E689" s="9"/>
      <c r="F689" s="8"/>
    </row>
    <row r="690" spans="1:6" x14ac:dyDescent="0.25">
      <c r="A690" s="6"/>
      <c r="B690" s="7"/>
      <c r="C690" s="15"/>
      <c r="D690" s="9"/>
      <c r="E690" s="9"/>
      <c r="F690" s="8"/>
    </row>
    <row r="691" spans="1:6" x14ac:dyDescent="0.25">
      <c r="A691" s="6"/>
      <c r="B691" s="7"/>
      <c r="C691" s="15"/>
      <c r="D691" s="9"/>
      <c r="E691" s="9"/>
      <c r="F691" s="8"/>
    </row>
    <row r="692" spans="1:6" x14ac:dyDescent="0.25">
      <c r="A692" s="6"/>
      <c r="B692" s="7"/>
      <c r="C692" s="15"/>
      <c r="D692" s="9"/>
      <c r="E692" s="9"/>
      <c r="F692" s="8"/>
    </row>
    <row r="693" spans="1:6" x14ac:dyDescent="0.25">
      <c r="A693" s="6"/>
      <c r="B693" s="7"/>
      <c r="C693" s="15"/>
      <c r="D693" s="9"/>
      <c r="E693" s="9"/>
      <c r="F693" s="8"/>
    </row>
    <row r="694" spans="1:6" x14ac:dyDescent="0.25">
      <c r="A694" s="6"/>
      <c r="B694" s="7"/>
      <c r="C694" s="15"/>
      <c r="D694" s="9"/>
      <c r="E694" s="9"/>
      <c r="F694" s="8"/>
    </row>
    <row r="695" spans="1:6" x14ac:dyDescent="0.25">
      <c r="A695" s="6"/>
      <c r="B695" s="7"/>
      <c r="C695" s="15"/>
      <c r="D695" s="9"/>
      <c r="E695" s="9"/>
      <c r="F695" s="8"/>
    </row>
    <row r="696" spans="1:6" x14ac:dyDescent="0.25">
      <c r="A696" s="6"/>
      <c r="B696" s="7"/>
      <c r="C696" s="15"/>
      <c r="D696" s="9"/>
      <c r="E696" s="9"/>
      <c r="F696" s="8"/>
    </row>
    <row r="697" spans="1:6" x14ac:dyDescent="0.25">
      <c r="A697" s="6"/>
      <c r="B697" s="7"/>
      <c r="C697" s="15"/>
      <c r="D697" s="9"/>
      <c r="E697" s="9"/>
      <c r="F697" s="8"/>
    </row>
    <row r="698" spans="1:6" x14ac:dyDescent="0.25">
      <c r="A698" s="6"/>
      <c r="B698" s="7"/>
      <c r="C698" s="15"/>
      <c r="D698" s="9"/>
      <c r="E698" s="9"/>
      <c r="F698" s="8"/>
    </row>
    <row r="699" spans="1:6" x14ac:dyDescent="0.25">
      <c r="A699" s="6"/>
      <c r="B699" s="7"/>
      <c r="C699" s="15"/>
      <c r="D699" s="9"/>
      <c r="E699" s="9"/>
      <c r="F699" s="8"/>
    </row>
    <row r="700" spans="1:6" x14ac:dyDescent="0.25">
      <c r="A700" s="6"/>
      <c r="B700" s="7"/>
      <c r="C700" s="15"/>
      <c r="D700" s="9"/>
      <c r="E700" s="9"/>
      <c r="F700" s="8"/>
    </row>
    <row r="701" spans="1:6" x14ac:dyDescent="0.25">
      <c r="A701" s="6"/>
      <c r="B701" s="7"/>
      <c r="C701" s="15"/>
      <c r="D701" s="9"/>
      <c r="E701" s="9"/>
      <c r="F701" s="8"/>
    </row>
    <row r="702" spans="1:6" x14ac:dyDescent="0.25">
      <c r="A702" s="6"/>
      <c r="B702" s="7"/>
      <c r="C702" s="15"/>
      <c r="D702" s="9"/>
      <c r="E702" s="9"/>
      <c r="F702" s="8"/>
    </row>
    <row r="703" spans="1:6" x14ac:dyDescent="0.25">
      <c r="A703" s="6"/>
      <c r="B703" s="7"/>
      <c r="C703" s="15"/>
      <c r="D703" s="9"/>
      <c r="E703" s="9"/>
      <c r="F703" s="8"/>
    </row>
    <row r="704" spans="1:6" x14ac:dyDescent="0.25">
      <c r="A704" s="6"/>
      <c r="B704" s="7"/>
      <c r="C704" s="15"/>
      <c r="D704" s="9"/>
      <c r="E704" s="9"/>
      <c r="F704" s="8"/>
    </row>
    <row r="705" spans="1:6" x14ac:dyDescent="0.25">
      <c r="A705" s="6"/>
      <c r="B705" s="7"/>
      <c r="C705" s="15"/>
      <c r="D705" s="9"/>
      <c r="E705" s="9"/>
      <c r="F705" s="8"/>
    </row>
    <row r="706" spans="1:6" x14ac:dyDescent="0.25">
      <c r="A706" s="6"/>
      <c r="B706" s="7"/>
      <c r="C706" s="15"/>
      <c r="D706" s="9"/>
      <c r="E706" s="9"/>
      <c r="F706" s="8"/>
    </row>
    <row r="707" spans="1:6" x14ac:dyDescent="0.25">
      <c r="A707" s="6"/>
      <c r="B707" s="7"/>
      <c r="C707" s="15"/>
      <c r="D707" s="9"/>
      <c r="E707" s="9"/>
      <c r="F707" s="8"/>
    </row>
    <row r="708" spans="1:6" x14ac:dyDescent="0.25">
      <c r="A708" s="6"/>
      <c r="B708" s="7"/>
      <c r="C708" s="15"/>
      <c r="D708" s="9"/>
      <c r="E708" s="9"/>
      <c r="F708" s="8"/>
    </row>
    <row r="709" spans="1:6" x14ac:dyDescent="0.25">
      <c r="A709" s="6"/>
      <c r="B709" s="7"/>
      <c r="C709" s="15"/>
      <c r="D709" s="9"/>
      <c r="E709" s="9"/>
      <c r="F709" s="8"/>
    </row>
    <row r="710" spans="1:6" x14ac:dyDescent="0.25">
      <c r="A710" s="6"/>
      <c r="B710" s="7"/>
      <c r="C710" s="15"/>
      <c r="D710" s="9"/>
      <c r="E710" s="9"/>
      <c r="F710" s="8"/>
    </row>
    <row r="711" spans="1:6" x14ac:dyDescent="0.25">
      <c r="A711" s="6"/>
      <c r="B711" s="7"/>
      <c r="C711" s="15"/>
      <c r="D711" s="9"/>
      <c r="E711" s="9"/>
      <c r="F711" s="8"/>
    </row>
    <row r="712" spans="1:6" x14ac:dyDescent="0.25">
      <c r="A712" s="6"/>
      <c r="B712" s="7"/>
      <c r="C712" s="15"/>
      <c r="D712" s="9"/>
      <c r="E712" s="9"/>
      <c r="F712" s="8"/>
    </row>
    <row r="713" spans="1:6" x14ac:dyDescent="0.25">
      <c r="A713" s="6"/>
      <c r="B713" s="7"/>
      <c r="C713" s="15"/>
      <c r="D713" s="9"/>
      <c r="E713" s="9"/>
      <c r="F713" s="8"/>
    </row>
    <row r="714" spans="1:6" x14ac:dyDescent="0.25">
      <c r="A714" s="6"/>
      <c r="B714" s="7"/>
      <c r="C714" s="15"/>
      <c r="D714" s="9"/>
      <c r="E714" s="9"/>
      <c r="F714" s="8"/>
    </row>
    <row r="715" spans="1:6" x14ac:dyDescent="0.25">
      <c r="A715" s="6"/>
      <c r="B715" s="7"/>
      <c r="C715" s="15"/>
      <c r="D715" s="9"/>
      <c r="E715" s="9"/>
      <c r="F715" s="8"/>
    </row>
    <row r="716" spans="1:6" x14ac:dyDescent="0.25">
      <c r="A716" s="6"/>
      <c r="B716" s="7"/>
      <c r="C716" s="15"/>
      <c r="D716" s="9"/>
      <c r="E716" s="9"/>
      <c r="F716" s="8"/>
    </row>
    <row r="717" spans="1:6" x14ac:dyDescent="0.25">
      <c r="A717" s="6"/>
      <c r="B717" s="7"/>
      <c r="C717" s="15"/>
      <c r="D717" s="9"/>
      <c r="E717" s="9"/>
      <c r="F717" s="8"/>
    </row>
    <row r="718" spans="1:6" x14ac:dyDescent="0.25">
      <c r="A718" s="6"/>
      <c r="B718" s="7"/>
      <c r="C718" s="15"/>
      <c r="D718" s="9"/>
      <c r="E718" s="9"/>
      <c r="F718" s="8"/>
    </row>
    <row r="719" spans="1:6" x14ac:dyDescent="0.25">
      <c r="A719" s="6"/>
      <c r="B719" s="7"/>
      <c r="C719" s="15"/>
      <c r="D719" s="9"/>
      <c r="E719" s="9"/>
      <c r="F719" s="8"/>
    </row>
    <row r="720" spans="1:6" x14ac:dyDescent="0.25">
      <c r="A720" s="6"/>
      <c r="B720" s="7"/>
      <c r="C720" s="15"/>
      <c r="D720" s="9"/>
      <c r="E720" s="9"/>
      <c r="F720" s="8"/>
    </row>
    <row r="721" spans="1:6" x14ac:dyDescent="0.25">
      <c r="A721" s="6"/>
      <c r="B721" s="7"/>
      <c r="C721" s="15"/>
      <c r="D721" s="9"/>
      <c r="E721" s="9"/>
      <c r="F721" s="8"/>
    </row>
    <row r="722" spans="1:6" x14ac:dyDescent="0.25">
      <c r="A722" s="6"/>
      <c r="B722" s="7"/>
      <c r="C722" s="15"/>
      <c r="D722" s="9"/>
      <c r="E722" s="9"/>
      <c r="F722" s="8"/>
    </row>
    <row r="723" spans="1:6" x14ac:dyDescent="0.25">
      <c r="A723" s="6"/>
      <c r="B723" s="7"/>
      <c r="C723" s="15"/>
      <c r="D723" s="9"/>
      <c r="E723" s="9"/>
      <c r="F723" s="8"/>
    </row>
    <row r="724" spans="1:6" x14ac:dyDescent="0.25">
      <c r="A724" s="6"/>
      <c r="B724" s="7"/>
      <c r="C724" s="15"/>
      <c r="D724" s="9"/>
      <c r="E724" s="9"/>
      <c r="F724" s="8"/>
    </row>
    <row r="725" spans="1:6" x14ac:dyDescent="0.25">
      <c r="A725" s="6"/>
      <c r="B725" s="7"/>
      <c r="C725" s="15"/>
      <c r="D725" s="9"/>
      <c r="E725" s="9"/>
      <c r="F725" s="8"/>
    </row>
    <row r="726" spans="1:6" x14ac:dyDescent="0.25">
      <c r="A726" s="6"/>
      <c r="B726" s="7"/>
      <c r="C726" s="15"/>
      <c r="D726" s="9"/>
      <c r="E726" s="9"/>
      <c r="F726" s="8"/>
    </row>
    <row r="727" spans="1:6" x14ac:dyDescent="0.25">
      <c r="A727" s="6"/>
      <c r="B727" s="7"/>
      <c r="C727" s="15"/>
      <c r="D727" s="9"/>
      <c r="E727" s="9"/>
      <c r="F727" s="8"/>
    </row>
    <row r="728" spans="1:6" x14ac:dyDescent="0.25">
      <c r="A728" s="6"/>
      <c r="B728" s="7"/>
      <c r="C728" s="15"/>
      <c r="D728" s="9"/>
      <c r="E728" s="9"/>
      <c r="F728" s="8"/>
    </row>
    <row r="729" spans="1:6" x14ac:dyDescent="0.25">
      <c r="A729" s="6"/>
      <c r="B729" s="7"/>
      <c r="C729" s="15"/>
      <c r="D729" s="9"/>
      <c r="E729" s="9"/>
      <c r="F729" s="8"/>
    </row>
    <row r="730" spans="1:6" x14ac:dyDescent="0.25">
      <c r="A730" s="6"/>
      <c r="B730" s="7"/>
      <c r="C730" s="15"/>
      <c r="D730" s="9"/>
      <c r="E730" s="9"/>
      <c r="F730" s="8"/>
    </row>
    <row r="731" spans="1:6" x14ac:dyDescent="0.25">
      <c r="A731" s="6"/>
      <c r="B731" s="7"/>
      <c r="C731" s="15"/>
      <c r="D731" s="9"/>
      <c r="E731" s="9"/>
      <c r="F731" s="8"/>
    </row>
    <row r="732" spans="1:6" x14ac:dyDescent="0.25">
      <c r="A732" s="6"/>
      <c r="B732" s="7"/>
      <c r="C732" s="15"/>
      <c r="D732" s="9"/>
      <c r="E732" s="9"/>
      <c r="F732" s="8"/>
    </row>
    <row r="733" spans="1:6" x14ac:dyDescent="0.25">
      <c r="A733" s="6"/>
      <c r="B733" s="7"/>
      <c r="C733" s="15"/>
      <c r="D733" s="9"/>
      <c r="E733" s="9"/>
      <c r="F733" s="8"/>
    </row>
    <row r="734" spans="1:6" x14ac:dyDescent="0.25">
      <c r="A734" s="6"/>
      <c r="B734" s="7"/>
      <c r="C734" s="15"/>
      <c r="D734" s="9"/>
      <c r="E734" s="9"/>
      <c r="F734" s="8"/>
    </row>
    <row r="735" spans="1:6" x14ac:dyDescent="0.25">
      <c r="A735" s="6"/>
      <c r="B735" s="7"/>
      <c r="C735" s="15"/>
      <c r="D735" s="9"/>
      <c r="E735" s="9"/>
      <c r="F735" s="8"/>
    </row>
    <row r="736" spans="1:6" x14ac:dyDescent="0.25">
      <c r="A736" s="6"/>
      <c r="B736" s="7"/>
      <c r="C736" s="15"/>
      <c r="D736" s="9"/>
      <c r="E736" s="9"/>
      <c r="F736" s="8"/>
    </row>
    <row r="737" spans="1:6" x14ac:dyDescent="0.25">
      <c r="A737" s="6"/>
      <c r="B737" s="7"/>
      <c r="C737" s="15"/>
      <c r="D737" s="9"/>
      <c r="E737" s="9"/>
      <c r="F737" s="8"/>
    </row>
    <row r="738" spans="1:6" x14ac:dyDescent="0.25">
      <c r="A738" s="6"/>
      <c r="B738" s="7"/>
      <c r="C738" s="15"/>
      <c r="D738" s="9"/>
      <c r="E738" s="9"/>
      <c r="F738" s="8"/>
    </row>
    <row r="739" spans="1:6" x14ac:dyDescent="0.25">
      <c r="A739" s="6"/>
      <c r="B739" s="7"/>
      <c r="C739" s="15"/>
      <c r="D739" s="9"/>
      <c r="E739" s="9"/>
      <c r="F739" s="8"/>
    </row>
    <row r="740" spans="1:6" x14ac:dyDescent="0.25">
      <c r="A740" s="6"/>
      <c r="B740" s="7"/>
      <c r="C740" s="15"/>
      <c r="D740" s="9"/>
      <c r="E740" s="9"/>
      <c r="F740" s="8"/>
    </row>
    <row r="741" spans="1:6" x14ac:dyDescent="0.25">
      <c r="A741" s="6"/>
      <c r="B741" s="7"/>
      <c r="C741" s="15"/>
      <c r="D741" s="9"/>
      <c r="E741" s="9"/>
      <c r="F741" s="8"/>
    </row>
    <row r="742" spans="1:6" x14ac:dyDescent="0.25">
      <c r="A742" s="6"/>
      <c r="B742" s="7"/>
      <c r="C742" s="15"/>
      <c r="D742" s="9"/>
      <c r="E742" s="9"/>
      <c r="F742" s="8"/>
    </row>
    <row r="743" spans="1:6" x14ac:dyDescent="0.25">
      <c r="A743" s="6"/>
      <c r="B743" s="7"/>
      <c r="C743" s="15"/>
      <c r="D743" s="9"/>
      <c r="E743" s="9"/>
      <c r="F743" s="8"/>
    </row>
    <row r="744" spans="1:6" x14ac:dyDescent="0.25">
      <c r="A744" s="6"/>
      <c r="B744" s="7"/>
      <c r="C744" s="15"/>
      <c r="D744" s="9"/>
      <c r="E744" s="9"/>
      <c r="F744" s="8"/>
    </row>
    <row r="745" spans="1:6" x14ac:dyDescent="0.25">
      <c r="A745" s="6"/>
      <c r="B745" s="7"/>
      <c r="C745" s="15"/>
      <c r="D745" s="9"/>
      <c r="E745" s="9"/>
      <c r="F745" s="8"/>
    </row>
    <row r="746" spans="1:6" x14ac:dyDescent="0.25">
      <c r="A746" s="6"/>
      <c r="B746" s="7"/>
      <c r="C746" s="15"/>
      <c r="D746" s="9"/>
      <c r="E746" s="9"/>
      <c r="F746" s="8"/>
    </row>
    <row r="747" spans="1:6" x14ac:dyDescent="0.25">
      <c r="A747" s="6"/>
      <c r="B747" s="7"/>
      <c r="C747" s="15"/>
      <c r="D747" s="9"/>
      <c r="E747" s="9"/>
      <c r="F747" s="8"/>
    </row>
    <row r="748" spans="1:6" x14ac:dyDescent="0.25">
      <c r="A748" s="6"/>
      <c r="B748" s="7"/>
      <c r="C748" s="15"/>
      <c r="D748" s="9"/>
      <c r="E748" s="9"/>
      <c r="F748" s="8"/>
    </row>
    <row r="749" spans="1:6" x14ac:dyDescent="0.25">
      <c r="A749" s="6"/>
      <c r="B749" s="7"/>
      <c r="C749" s="15"/>
      <c r="D749" s="9"/>
      <c r="E749" s="9"/>
      <c r="F749" s="8"/>
    </row>
    <row r="750" spans="1:6" x14ac:dyDescent="0.25">
      <c r="A750" s="6"/>
      <c r="B750" s="7"/>
      <c r="C750" s="15"/>
      <c r="D750" s="9"/>
      <c r="E750" s="9"/>
      <c r="F750" s="8"/>
    </row>
    <row r="751" spans="1:6" x14ac:dyDescent="0.25">
      <c r="A751" s="6"/>
      <c r="B751" s="7"/>
      <c r="C751" s="15"/>
      <c r="D751" s="9"/>
      <c r="E751" s="9"/>
      <c r="F751" s="8"/>
    </row>
    <row r="752" spans="1:6" x14ac:dyDescent="0.25">
      <c r="A752" s="6"/>
      <c r="B752" s="7"/>
      <c r="C752" s="15"/>
      <c r="D752" s="9"/>
      <c r="E752" s="9"/>
      <c r="F752" s="8"/>
    </row>
    <row r="753" spans="1:6" x14ac:dyDescent="0.25">
      <c r="A753" s="6"/>
      <c r="B753" s="7"/>
      <c r="C753" s="15"/>
      <c r="D753" s="9"/>
      <c r="E753" s="9"/>
      <c r="F753" s="8"/>
    </row>
    <row r="754" spans="1:6" x14ac:dyDescent="0.25">
      <c r="A754" s="6"/>
      <c r="B754" s="7"/>
      <c r="C754" s="15"/>
      <c r="D754" s="9"/>
      <c r="E754" s="9"/>
      <c r="F754" s="8"/>
    </row>
    <row r="755" spans="1:6" x14ac:dyDescent="0.25">
      <c r="A755" s="6"/>
      <c r="B755" s="7"/>
      <c r="C755" s="15"/>
      <c r="D755" s="9"/>
      <c r="E755" s="9"/>
      <c r="F755" s="8"/>
    </row>
    <row r="756" spans="1:6" x14ac:dyDescent="0.25">
      <c r="A756" s="6"/>
      <c r="B756" s="7"/>
      <c r="C756" s="15"/>
      <c r="D756" s="9"/>
      <c r="E756" s="9"/>
      <c r="F756" s="8"/>
    </row>
    <row r="757" spans="1:6" x14ac:dyDescent="0.25">
      <c r="A757" s="6"/>
      <c r="B757" s="7"/>
      <c r="C757" s="15"/>
      <c r="D757" s="9"/>
      <c r="E757" s="9"/>
      <c r="F757" s="8"/>
    </row>
    <row r="758" spans="1:6" x14ac:dyDescent="0.25">
      <c r="A758" s="6"/>
      <c r="B758" s="7"/>
      <c r="C758" s="15"/>
      <c r="D758" s="9"/>
      <c r="E758" s="9"/>
      <c r="F758" s="8"/>
    </row>
    <row r="759" spans="1:6" x14ac:dyDescent="0.25">
      <c r="A759" s="6"/>
      <c r="B759" s="7"/>
      <c r="C759" s="15"/>
      <c r="D759" s="9"/>
      <c r="E759" s="9"/>
      <c r="F759" s="8"/>
    </row>
    <row r="760" spans="1:6" x14ac:dyDescent="0.25">
      <c r="A760" s="6"/>
      <c r="B760" s="7"/>
      <c r="C760" s="15"/>
      <c r="D760" s="9"/>
      <c r="E760" s="9"/>
      <c r="F760" s="8"/>
    </row>
    <row r="761" spans="1:6" x14ac:dyDescent="0.25">
      <c r="A761" s="6"/>
      <c r="B761" s="7"/>
      <c r="C761" s="15"/>
      <c r="D761" s="9"/>
      <c r="E761" s="9"/>
      <c r="F761" s="8"/>
    </row>
    <row r="762" spans="1:6" x14ac:dyDescent="0.25">
      <c r="A762" s="6"/>
      <c r="B762" s="7"/>
      <c r="C762" s="15"/>
      <c r="D762" s="9"/>
      <c r="E762" s="9"/>
      <c r="F762" s="8"/>
    </row>
    <row r="763" spans="1:6" x14ac:dyDescent="0.25">
      <c r="A763" s="6"/>
      <c r="B763" s="7"/>
      <c r="C763" s="15"/>
      <c r="D763" s="9"/>
      <c r="E763" s="9"/>
      <c r="F763" s="8"/>
    </row>
    <row r="764" spans="1:6" x14ac:dyDescent="0.25">
      <c r="A764" s="6"/>
      <c r="B764" s="7"/>
      <c r="C764" s="15"/>
      <c r="D764" s="9"/>
      <c r="E764" s="9"/>
      <c r="F764" s="8"/>
    </row>
    <row r="765" spans="1:6" x14ac:dyDescent="0.25">
      <c r="A765" s="6"/>
      <c r="B765" s="7"/>
      <c r="C765" s="15"/>
      <c r="D765" s="9"/>
      <c r="E765" s="9"/>
      <c r="F765" s="8"/>
    </row>
    <row r="766" spans="1:6" x14ac:dyDescent="0.25">
      <c r="A766" s="6"/>
      <c r="B766" s="7"/>
      <c r="C766" s="15"/>
      <c r="D766" s="9"/>
      <c r="E766" s="9"/>
      <c r="F766" s="8"/>
    </row>
    <row r="767" spans="1:6" x14ac:dyDescent="0.25">
      <c r="A767" s="6"/>
      <c r="B767" s="7"/>
      <c r="C767" s="15"/>
      <c r="D767" s="9"/>
      <c r="E767" s="9"/>
      <c r="F767" s="8"/>
    </row>
    <row r="768" spans="1:6" x14ac:dyDescent="0.25">
      <c r="A768" s="6"/>
      <c r="B768" s="7"/>
      <c r="C768" s="15"/>
      <c r="D768" s="9"/>
      <c r="E768" s="9"/>
      <c r="F768" s="8"/>
    </row>
    <row r="769" spans="1:6" x14ac:dyDescent="0.25">
      <c r="A769" s="6"/>
      <c r="B769" s="7"/>
      <c r="C769" s="15"/>
      <c r="D769" s="9"/>
      <c r="E769" s="9"/>
      <c r="F769" s="8"/>
    </row>
    <row r="770" spans="1:6" x14ac:dyDescent="0.25">
      <c r="A770" s="6"/>
      <c r="B770" s="7"/>
      <c r="C770" s="15"/>
      <c r="D770" s="9"/>
      <c r="E770" s="9"/>
      <c r="F770" s="8"/>
    </row>
    <row r="771" spans="1:6" x14ac:dyDescent="0.25">
      <c r="A771" s="6"/>
      <c r="B771" s="7"/>
      <c r="C771" s="15"/>
      <c r="D771" s="9"/>
      <c r="E771" s="9"/>
      <c r="F771" s="8"/>
    </row>
    <row r="772" spans="1:6" x14ac:dyDescent="0.25">
      <c r="A772" s="6"/>
      <c r="B772" s="7"/>
      <c r="C772" s="15"/>
      <c r="D772" s="9"/>
      <c r="E772" s="9"/>
      <c r="F772" s="8"/>
    </row>
    <row r="773" spans="1:6" x14ac:dyDescent="0.25">
      <c r="A773" s="6"/>
      <c r="B773" s="7"/>
      <c r="C773" s="15"/>
      <c r="D773" s="9"/>
      <c r="E773" s="9"/>
      <c r="F773" s="8"/>
    </row>
    <row r="774" spans="1:6" x14ac:dyDescent="0.25">
      <c r="A774" s="6"/>
      <c r="B774" s="7"/>
      <c r="C774" s="15"/>
      <c r="D774" s="9"/>
      <c r="E774" s="9"/>
      <c r="F774" s="8"/>
    </row>
    <row r="775" spans="1:6" x14ac:dyDescent="0.25">
      <c r="A775" s="6"/>
      <c r="B775" s="7"/>
      <c r="C775" s="15"/>
      <c r="D775" s="9"/>
      <c r="E775" s="9"/>
      <c r="F775" s="8"/>
    </row>
    <row r="776" spans="1:6" x14ac:dyDescent="0.25">
      <c r="A776" s="6"/>
      <c r="B776" s="7"/>
      <c r="C776" s="15"/>
      <c r="D776" s="9"/>
      <c r="E776" s="9"/>
      <c r="F776" s="8"/>
    </row>
    <row r="777" spans="1:6" x14ac:dyDescent="0.25">
      <c r="A777" s="6"/>
      <c r="B777" s="7"/>
      <c r="C777" s="15"/>
      <c r="D777" s="9"/>
      <c r="E777" s="9"/>
      <c r="F777" s="8"/>
    </row>
    <row r="778" spans="1:6" x14ac:dyDescent="0.25">
      <c r="A778" s="6"/>
      <c r="B778" s="7"/>
      <c r="C778" s="15"/>
      <c r="D778" s="9"/>
      <c r="E778" s="9"/>
      <c r="F778" s="8"/>
    </row>
    <row r="779" spans="1:6" x14ac:dyDescent="0.25">
      <c r="A779" s="6"/>
      <c r="B779" s="7"/>
      <c r="C779" s="15"/>
      <c r="D779" s="9"/>
      <c r="E779" s="9"/>
      <c r="F779" s="8"/>
    </row>
    <row r="780" spans="1:6" x14ac:dyDescent="0.25">
      <c r="A780" s="6"/>
      <c r="B780" s="7"/>
      <c r="C780" s="15"/>
      <c r="D780" s="9"/>
      <c r="E780" s="9"/>
      <c r="F780" s="8"/>
    </row>
    <row r="781" spans="1:6" x14ac:dyDescent="0.25">
      <c r="A781" s="6"/>
      <c r="B781" s="7"/>
      <c r="C781" s="15"/>
      <c r="D781" s="9"/>
      <c r="E781" s="9"/>
      <c r="F781" s="8"/>
    </row>
    <row r="782" spans="1:6" x14ac:dyDescent="0.25">
      <c r="A782" s="6"/>
      <c r="B782" s="7"/>
      <c r="C782" s="15"/>
      <c r="D782" s="9"/>
      <c r="E782" s="9"/>
      <c r="F782" s="8"/>
    </row>
    <row r="783" spans="1:6" x14ac:dyDescent="0.25">
      <c r="A783" s="6"/>
      <c r="B783" s="7"/>
      <c r="C783" s="15"/>
      <c r="D783" s="9"/>
      <c r="E783" s="9"/>
      <c r="F783" s="8"/>
    </row>
    <row r="784" spans="1:6" x14ac:dyDescent="0.25">
      <c r="A784" s="6"/>
      <c r="B784" s="7"/>
      <c r="C784" s="15"/>
      <c r="D784" s="9"/>
      <c r="E784" s="9"/>
      <c r="F784" s="8"/>
    </row>
    <row r="785" spans="1:6" x14ac:dyDescent="0.25">
      <c r="A785" s="6"/>
      <c r="B785" s="7"/>
      <c r="C785" s="15"/>
      <c r="D785" s="9"/>
      <c r="E785" s="9"/>
      <c r="F785" s="8"/>
    </row>
    <row r="786" spans="1:6" x14ac:dyDescent="0.25">
      <c r="A786" s="6"/>
      <c r="B786" s="7"/>
      <c r="C786" s="15"/>
      <c r="D786" s="9"/>
      <c r="E786" s="9"/>
      <c r="F786" s="8"/>
    </row>
    <row r="787" spans="1:6" x14ac:dyDescent="0.25">
      <c r="A787" s="6"/>
      <c r="B787" s="7"/>
      <c r="C787" s="15"/>
      <c r="D787" s="9"/>
      <c r="E787" s="9"/>
      <c r="F787" s="8"/>
    </row>
    <row r="788" spans="1:6" x14ac:dyDescent="0.25">
      <c r="A788" s="6"/>
      <c r="B788" s="7"/>
      <c r="C788" s="15"/>
      <c r="D788" s="9"/>
      <c r="E788" s="9"/>
      <c r="F788" s="8"/>
    </row>
    <row r="789" spans="1:6" x14ac:dyDescent="0.25">
      <c r="A789" s="6"/>
      <c r="B789" s="7"/>
      <c r="C789" s="15"/>
      <c r="D789" s="9"/>
      <c r="E789" s="9"/>
      <c r="F789" s="8"/>
    </row>
    <row r="790" spans="1:6" x14ac:dyDescent="0.25">
      <c r="A790" s="6"/>
      <c r="B790" s="7"/>
      <c r="C790" s="15"/>
      <c r="D790" s="9"/>
      <c r="E790" s="9"/>
      <c r="F790" s="8"/>
    </row>
    <row r="791" spans="1:6" x14ac:dyDescent="0.25">
      <c r="A791" s="6"/>
      <c r="B791" s="7"/>
      <c r="C791" s="15"/>
      <c r="D791" s="9"/>
      <c r="E791" s="9"/>
      <c r="F791" s="8"/>
    </row>
    <row r="792" spans="1:6" x14ac:dyDescent="0.25">
      <c r="A792" s="6"/>
      <c r="B792" s="7"/>
      <c r="C792" s="15"/>
      <c r="D792" s="9"/>
      <c r="E792" s="9"/>
      <c r="F792" s="8"/>
    </row>
    <row r="793" spans="1:6" x14ac:dyDescent="0.25">
      <c r="A793" s="6"/>
      <c r="B793" s="7"/>
      <c r="C793" s="15"/>
      <c r="D793" s="9"/>
      <c r="E793" s="9"/>
      <c r="F793" s="8"/>
    </row>
    <row r="794" spans="1:6" x14ac:dyDescent="0.25">
      <c r="A794" s="6"/>
      <c r="B794" s="7"/>
      <c r="C794" s="15"/>
      <c r="D794" s="9"/>
      <c r="E794" s="9"/>
      <c r="F794" s="8"/>
    </row>
    <row r="795" spans="1:6" x14ac:dyDescent="0.25">
      <c r="A795" s="6"/>
      <c r="B795" s="7"/>
      <c r="C795" s="15"/>
      <c r="D795" s="9"/>
      <c r="E795" s="9"/>
      <c r="F795" s="8"/>
    </row>
    <row r="796" spans="1:6" x14ac:dyDescent="0.25">
      <c r="A796" s="6"/>
      <c r="B796" s="7"/>
      <c r="C796" s="15"/>
      <c r="D796" s="9"/>
      <c r="E796" s="9"/>
      <c r="F796" s="8"/>
    </row>
    <row r="797" spans="1:6" x14ac:dyDescent="0.25">
      <c r="A797" s="6"/>
      <c r="B797" s="7"/>
      <c r="C797" s="15"/>
      <c r="D797" s="9"/>
      <c r="E797" s="9"/>
      <c r="F797" s="8"/>
    </row>
    <row r="798" spans="1:6" x14ac:dyDescent="0.25">
      <c r="A798" s="6"/>
      <c r="B798" s="7"/>
      <c r="C798" s="15"/>
      <c r="D798" s="9"/>
      <c r="E798" s="9"/>
      <c r="F798" s="8"/>
    </row>
    <row r="799" spans="1:6" x14ac:dyDescent="0.25">
      <c r="A799" s="6"/>
      <c r="B799" s="7"/>
      <c r="C799" s="15"/>
      <c r="D799" s="9"/>
      <c r="E799" s="9"/>
      <c r="F799" s="8"/>
    </row>
    <row r="800" spans="1:6" x14ac:dyDescent="0.25">
      <c r="A800" s="6"/>
      <c r="B800" s="7"/>
      <c r="C800" s="15"/>
      <c r="D800" s="9"/>
      <c r="E800" s="9"/>
      <c r="F800" s="8"/>
    </row>
    <row r="801" spans="1:6" x14ac:dyDescent="0.25">
      <c r="A801" s="6"/>
      <c r="B801" s="7"/>
      <c r="C801" s="15"/>
      <c r="D801" s="9"/>
      <c r="E801" s="9"/>
      <c r="F801" s="8"/>
    </row>
    <row r="802" spans="1:6" x14ac:dyDescent="0.25">
      <c r="A802" s="6"/>
      <c r="B802" s="7"/>
      <c r="C802" s="15"/>
      <c r="D802" s="9"/>
      <c r="E802" s="9"/>
      <c r="F802" s="8"/>
    </row>
    <row r="803" spans="1:6" x14ac:dyDescent="0.25">
      <c r="A803" s="6"/>
      <c r="B803" s="7"/>
      <c r="C803" s="15"/>
      <c r="D803" s="9"/>
      <c r="E803" s="9"/>
      <c r="F803" s="8"/>
    </row>
    <row r="804" spans="1:6" x14ac:dyDescent="0.25">
      <c r="A804" s="6"/>
      <c r="B804" s="7"/>
      <c r="C804" s="15"/>
      <c r="D804" s="9"/>
      <c r="E804" s="9"/>
      <c r="F804" s="8"/>
    </row>
    <row r="805" spans="1:6" x14ac:dyDescent="0.25">
      <c r="A805" s="6"/>
      <c r="B805" s="7"/>
      <c r="C805" s="15"/>
      <c r="D805" s="9"/>
      <c r="E805" s="9"/>
      <c r="F805" s="8"/>
    </row>
    <row r="806" spans="1:6" x14ac:dyDescent="0.25">
      <c r="A806" s="6"/>
      <c r="B806" s="7"/>
      <c r="C806" s="15"/>
      <c r="D806" s="9"/>
      <c r="E806" s="9"/>
      <c r="F806" s="8"/>
    </row>
    <row r="807" spans="1:6" x14ac:dyDescent="0.25">
      <c r="A807" s="6"/>
      <c r="B807" s="7"/>
      <c r="C807" s="15"/>
      <c r="D807" s="9"/>
      <c r="E807" s="9"/>
      <c r="F807" s="8"/>
    </row>
    <row r="808" spans="1:6" x14ac:dyDescent="0.25">
      <c r="A808" s="6"/>
      <c r="B808" s="7"/>
      <c r="C808" s="15"/>
      <c r="D808" s="9"/>
      <c r="E808" s="9"/>
      <c r="F808" s="8"/>
    </row>
    <row r="809" spans="1:6" x14ac:dyDescent="0.25">
      <c r="A809" s="6"/>
      <c r="B809" s="7"/>
      <c r="C809" s="15"/>
      <c r="D809" s="9"/>
      <c r="E809" s="9"/>
      <c r="F809" s="8"/>
    </row>
    <row r="810" spans="1:6" x14ac:dyDescent="0.25">
      <c r="A810" s="6"/>
      <c r="B810" s="7"/>
      <c r="C810" s="15"/>
      <c r="D810" s="9"/>
      <c r="E810" s="9"/>
      <c r="F810" s="8"/>
    </row>
    <row r="811" spans="1:6" x14ac:dyDescent="0.25">
      <c r="A811" s="6"/>
      <c r="B811" s="7"/>
      <c r="C811" s="15"/>
      <c r="D811" s="9"/>
      <c r="E811" s="9"/>
      <c r="F811" s="8"/>
    </row>
    <row r="812" spans="1:6" x14ac:dyDescent="0.25">
      <c r="A812" s="6"/>
      <c r="B812" s="7"/>
      <c r="C812" s="15"/>
      <c r="D812" s="9"/>
      <c r="E812" s="9"/>
      <c r="F812" s="8"/>
    </row>
    <row r="813" spans="1:6" x14ac:dyDescent="0.25">
      <c r="A813" s="6"/>
      <c r="B813" s="7"/>
      <c r="C813" s="15"/>
      <c r="D813" s="9"/>
      <c r="E813" s="9"/>
      <c r="F813" s="8"/>
    </row>
    <row r="814" spans="1:6" x14ac:dyDescent="0.25">
      <c r="A814" s="6"/>
      <c r="B814" s="7"/>
      <c r="C814" s="15"/>
      <c r="D814" s="9"/>
      <c r="E814" s="9"/>
      <c r="F814" s="8"/>
    </row>
    <row r="815" spans="1:6" x14ac:dyDescent="0.25">
      <c r="A815" s="6"/>
      <c r="B815" s="7"/>
      <c r="C815" s="15"/>
      <c r="D815" s="9"/>
      <c r="E815" s="9"/>
      <c r="F815" s="8"/>
    </row>
    <row r="816" spans="1:6" x14ac:dyDescent="0.25">
      <c r="A816" s="6"/>
      <c r="B816" s="7"/>
      <c r="C816" s="15"/>
      <c r="D816" s="9"/>
      <c r="E816" s="9"/>
      <c r="F816" s="8"/>
    </row>
    <row r="817" spans="1:6" x14ac:dyDescent="0.25">
      <c r="A817" s="6"/>
      <c r="B817" s="7"/>
      <c r="C817" s="15"/>
      <c r="D817" s="9"/>
      <c r="E817" s="9"/>
      <c r="F817" s="8"/>
    </row>
    <row r="818" spans="1:6" x14ac:dyDescent="0.25">
      <c r="A818" s="6"/>
      <c r="B818" s="7"/>
      <c r="C818" s="15"/>
      <c r="D818" s="9"/>
      <c r="E818" s="9"/>
      <c r="F818" s="8"/>
    </row>
    <row r="819" spans="1:6" x14ac:dyDescent="0.25">
      <c r="A819" s="6"/>
      <c r="B819" s="7"/>
      <c r="C819" s="15"/>
      <c r="D819" s="9"/>
      <c r="E819" s="9"/>
      <c r="F819" s="8"/>
    </row>
    <row r="820" spans="1:6" x14ac:dyDescent="0.25">
      <c r="A820" s="6"/>
      <c r="B820" s="7"/>
      <c r="C820" s="15"/>
      <c r="D820" s="9"/>
      <c r="E820" s="9"/>
      <c r="F820" s="8"/>
    </row>
    <row r="821" spans="1:6" x14ac:dyDescent="0.25">
      <c r="A821" s="6"/>
      <c r="B821" s="7"/>
      <c r="C821" s="15"/>
      <c r="D821" s="9"/>
      <c r="E821" s="9"/>
      <c r="F821" s="8"/>
    </row>
    <row r="822" spans="1:6" x14ac:dyDescent="0.25">
      <c r="A822" s="6"/>
      <c r="B822" s="7"/>
      <c r="C822" s="15"/>
      <c r="D822" s="9"/>
      <c r="E822" s="9"/>
      <c r="F822" s="8"/>
    </row>
    <row r="823" spans="1:6" x14ac:dyDescent="0.25">
      <c r="A823" s="6"/>
      <c r="B823" s="7"/>
      <c r="C823" s="15"/>
      <c r="D823" s="9"/>
      <c r="E823" s="9"/>
      <c r="F823" s="8"/>
    </row>
    <row r="824" spans="1:6" x14ac:dyDescent="0.25">
      <c r="A824" s="6"/>
      <c r="B824" s="7"/>
      <c r="C824" s="15"/>
      <c r="D824" s="9"/>
      <c r="E824" s="9"/>
      <c r="F824" s="8"/>
    </row>
    <row r="825" spans="1:6" x14ac:dyDescent="0.25">
      <c r="A825" s="6"/>
      <c r="B825" s="7"/>
      <c r="C825" s="15"/>
      <c r="D825" s="9"/>
      <c r="E825" s="9"/>
      <c r="F825" s="8"/>
    </row>
    <row r="826" spans="1:6" x14ac:dyDescent="0.25">
      <c r="A826" s="6"/>
      <c r="B826" s="7"/>
      <c r="C826" s="15"/>
      <c r="D826" s="9"/>
      <c r="E826" s="9"/>
      <c r="F826" s="8"/>
    </row>
    <row r="827" spans="1:6" x14ac:dyDescent="0.25">
      <c r="A827" s="6"/>
      <c r="B827" s="7"/>
      <c r="C827" s="15"/>
      <c r="D827" s="9"/>
      <c r="E827" s="9"/>
      <c r="F827" s="8"/>
    </row>
    <row r="828" spans="1:6" x14ac:dyDescent="0.25">
      <c r="A828" s="6"/>
      <c r="B828" s="7"/>
      <c r="C828" s="15"/>
      <c r="D828" s="9"/>
      <c r="E828" s="9"/>
      <c r="F828" s="8"/>
    </row>
    <row r="829" spans="1:6" x14ac:dyDescent="0.25">
      <c r="A829" s="6"/>
      <c r="B829" s="7"/>
      <c r="C829" s="15"/>
      <c r="D829" s="9"/>
      <c r="E829" s="9"/>
      <c r="F829" s="8"/>
    </row>
    <row r="830" spans="1:6" x14ac:dyDescent="0.25">
      <c r="A830" s="6"/>
      <c r="B830" s="7"/>
      <c r="C830" s="15"/>
      <c r="D830" s="9"/>
      <c r="E830" s="9"/>
      <c r="F830" s="8"/>
    </row>
    <row r="831" spans="1:6" x14ac:dyDescent="0.25">
      <c r="A831" s="6"/>
      <c r="B831" s="7"/>
      <c r="C831" s="15"/>
      <c r="D831" s="9"/>
      <c r="E831" s="9"/>
      <c r="F831" s="8"/>
    </row>
    <row r="832" spans="1:6" x14ac:dyDescent="0.25">
      <c r="A832" s="6"/>
      <c r="B832" s="7"/>
      <c r="C832" s="15"/>
      <c r="D832" s="9"/>
      <c r="E832" s="9"/>
      <c r="F832" s="8"/>
    </row>
    <row r="833" spans="1:6" x14ac:dyDescent="0.25">
      <c r="A833" s="6"/>
      <c r="B833" s="7"/>
      <c r="C833" s="15"/>
      <c r="D833" s="9"/>
      <c r="E833" s="9"/>
      <c r="F833" s="8"/>
    </row>
    <row r="834" spans="1:6" x14ac:dyDescent="0.25">
      <c r="A834" s="6"/>
      <c r="B834" s="7"/>
      <c r="C834" s="15"/>
      <c r="D834" s="9"/>
      <c r="E834" s="9"/>
      <c r="F834" s="8"/>
    </row>
    <row r="835" spans="1:6" x14ac:dyDescent="0.25">
      <c r="A835" s="6"/>
      <c r="B835" s="7"/>
      <c r="C835" s="15"/>
      <c r="D835" s="9"/>
      <c r="E835" s="9"/>
      <c r="F835" s="8"/>
    </row>
    <row r="836" spans="1:6" x14ac:dyDescent="0.25">
      <c r="A836" s="6"/>
      <c r="B836" s="7"/>
      <c r="C836" s="15"/>
      <c r="D836" s="9"/>
      <c r="E836" s="9"/>
      <c r="F836" s="8"/>
    </row>
    <row r="837" spans="1:6" x14ac:dyDescent="0.25">
      <c r="A837" s="6"/>
      <c r="B837" s="7"/>
      <c r="C837" s="15"/>
      <c r="D837" s="9"/>
      <c r="E837" s="9"/>
      <c r="F837" s="8"/>
    </row>
    <row r="838" spans="1:6" x14ac:dyDescent="0.25">
      <c r="A838" s="6"/>
      <c r="B838" s="7"/>
      <c r="C838" s="15"/>
      <c r="D838" s="9"/>
      <c r="E838" s="9"/>
      <c r="F838" s="8"/>
    </row>
    <row r="839" spans="1:6" x14ac:dyDescent="0.25">
      <c r="A839" s="6"/>
      <c r="B839" s="7"/>
      <c r="C839" s="15"/>
      <c r="D839" s="9"/>
      <c r="E839" s="9"/>
      <c r="F839" s="8"/>
    </row>
    <row r="840" spans="1:6" x14ac:dyDescent="0.25">
      <c r="A840" s="6"/>
      <c r="B840" s="7"/>
      <c r="C840" s="15"/>
      <c r="D840" s="9"/>
      <c r="E840" s="9"/>
      <c r="F840" s="8"/>
    </row>
    <row r="841" spans="1:6" x14ac:dyDescent="0.25">
      <c r="A841" s="6"/>
      <c r="B841" s="7"/>
      <c r="C841" s="15"/>
      <c r="D841" s="9"/>
      <c r="E841" s="9"/>
      <c r="F841" s="8"/>
    </row>
    <row r="842" spans="1:6" x14ac:dyDescent="0.25">
      <c r="A842" s="6"/>
      <c r="B842" s="7"/>
      <c r="C842" s="15"/>
      <c r="D842" s="9"/>
      <c r="E842" s="9"/>
      <c r="F842" s="8"/>
    </row>
    <row r="843" spans="1:6" x14ac:dyDescent="0.25">
      <c r="A843" s="6"/>
      <c r="B843" s="7"/>
      <c r="C843" s="15"/>
      <c r="D843" s="9"/>
      <c r="E843" s="9"/>
      <c r="F843" s="8"/>
    </row>
    <row r="844" spans="1:6" x14ac:dyDescent="0.25">
      <c r="A844" s="6"/>
      <c r="B844" s="7"/>
      <c r="C844" s="15"/>
      <c r="D844" s="9"/>
      <c r="E844" s="9"/>
      <c r="F844" s="8"/>
    </row>
    <row r="845" spans="1:6" x14ac:dyDescent="0.25">
      <c r="A845" s="6"/>
      <c r="B845" s="7"/>
      <c r="C845" s="15"/>
      <c r="D845" s="9"/>
      <c r="E845" s="9"/>
      <c r="F845" s="8"/>
    </row>
    <row r="846" spans="1:6" x14ac:dyDescent="0.25">
      <c r="A846" s="6"/>
      <c r="B846" s="7"/>
      <c r="C846" s="15"/>
      <c r="D846" s="9"/>
      <c r="E846" s="9"/>
      <c r="F846" s="8"/>
    </row>
    <row r="847" spans="1:6" x14ac:dyDescent="0.25">
      <c r="A847" s="6"/>
      <c r="B847" s="7"/>
      <c r="C847" s="15"/>
      <c r="D847" s="9"/>
      <c r="E847" s="9"/>
      <c r="F847" s="8"/>
    </row>
    <row r="848" spans="1:6" x14ac:dyDescent="0.25">
      <c r="A848" s="6"/>
      <c r="B848" s="7"/>
      <c r="C848" s="15"/>
      <c r="D848" s="9"/>
      <c r="E848" s="9"/>
      <c r="F848" s="8"/>
    </row>
    <row r="849" spans="1:6" x14ac:dyDescent="0.25">
      <c r="A849" s="6"/>
      <c r="B849" s="7"/>
      <c r="C849" s="15"/>
      <c r="D849" s="9"/>
      <c r="E849" s="9"/>
      <c r="F849" s="8"/>
    </row>
    <row r="850" spans="1:6" x14ac:dyDescent="0.25">
      <c r="A850" s="6"/>
      <c r="B850" s="7"/>
      <c r="C850" s="15"/>
      <c r="D850" s="9"/>
      <c r="E850" s="9"/>
      <c r="F850" s="8"/>
    </row>
    <row r="851" spans="1:6" x14ac:dyDescent="0.25">
      <c r="A851" s="6"/>
      <c r="B851" s="7"/>
      <c r="C851" s="15"/>
      <c r="D851" s="9"/>
      <c r="E851" s="9"/>
      <c r="F851" s="8"/>
    </row>
    <row r="852" spans="1:6" x14ac:dyDescent="0.25">
      <c r="A852" s="6"/>
      <c r="B852" s="7"/>
      <c r="C852" s="15"/>
      <c r="D852" s="9"/>
      <c r="E852" s="9"/>
      <c r="F852" s="8"/>
    </row>
    <row r="853" spans="1:6" x14ac:dyDescent="0.25">
      <c r="A853" s="6"/>
      <c r="B853" s="7"/>
      <c r="C853" s="15"/>
      <c r="D853" s="9"/>
      <c r="E853" s="9"/>
      <c r="F853" s="8"/>
    </row>
    <row r="854" spans="1:6" x14ac:dyDescent="0.25">
      <c r="A854" s="6"/>
      <c r="B854" s="7"/>
      <c r="C854" s="15"/>
      <c r="D854" s="9"/>
      <c r="E854" s="9"/>
      <c r="F854" s="8"/>
    </row>
    <row r="855" spans="1:6" x14ac:dyDescent="0.25">
      <c r="A855" s="6"/>
      <c r="B855" s="7"/>
      <c r="C855" s="15"/>
      <c r="D855" s="9"/>
      <c r="E855" s="9"/>
      <c r="F855" s="8"/>
    </row>
    <row r="856" spans="1:6" x14ac:dyDescent="0.25">
      <c r="A856" s="6"/>
      <c r="B856" s="7"/>
      <c r="C856" s="15"/>
      <c r="D856" s="9"/>
      <c r="E856" s="9"/>
      <c r="F856" s="8"/>
    </row>
    <row r="857" spans="1:6" x14ac:dyDescent="0.25">
      <c r="A857" s="6"/>
      <c r="B857" s="7"/>
      <c r="C857" s="15"/>
      <c r="D857" s="9"/>
      <c r="E857" s="9"/>
      <c r="F857" s="8"/>
    </row>
    <row r="858" spans="1:6" x14ac:dyDescent="0.25">
      <c r="A858" s="6"/>
      <c r="B858" s="7"/>
      <c r="C858" s="15"/>
      <c r="D858" s="9"/>
      <c r="E858" s="9"/>
      <c r="F858" s="8"/>
    </row>
    <row r="859" spans="1:6" x14ac:dyDescent="0.25">
      <c r="A859" s="6"/>
      <c r="B859" s="7"/>
      <c r="C859" s="15"/>
      <c r="D859" s="9"/>
      <c r="E859" s="9"/>
      <c r="F859" s="8"/>
    </row>
    <row r="860" spans="1:6" x14ac:dyDescent="0.25">
      <c r="A860" s="6"/>
      <c r="B860" s="7"/>
      <c r="C860" s="15"/>
      <c r="D860" s="9"/>
      <c r="E860" s="9"/>
      <c r="F860" s="8"/>
    </row>
    <row r="861" spans="1:6" x14ac:dyDescent="0.25">
      <c r="A861" s="6"/>
      <c r="B861" s="7"/>
      <c r="C861" s="15"/>
      <c r="D861" s="9"/>
      <c r="E861" s="9"/>
      <c r="F861" s="8"/>
    </row>
    <row r="862" spans="1:6" x14ac:dyDescent="0.25">
      <c r="A862" s="6"/>
      <c r="B862" s="7"/>
      <c r="C862" s="15"/>
      <c r="D862" s="9"/>
      <c r="E862" s="9"/>
      <c r="F862" s="8"/>
    </row>
    <row r="863" spans="1:6" x14ac:dyDescent="0.25">
      <c r="A863" s="6"/>
      <c r="B863" s="7"/>
      <c r="C863" s="15"/>
      <c r="D863" s="9"/>
      <c r="E863" s="9"/>
      <c r="F863" s="8"/>
    </row>
    <row r="864" spans="1:6" x14ac:dyDescent="0.25">
      <c r="A864" s="6"/>
      <c r="B864" s="7"/>
      <c r="C864" s="15"/>
      <c r="D864" s="9"/>
      <c r="E864" s="9"/>
      <c r="F864" s="8"/>
    </row>
    <row r="865" spans="1:6" x14ac:dyDescent="0.25">
      <c r="A865" s="6"/>
      <c r="B865" s="7"/>
      <c r="C865" s="15"/>
      <c r="D865" s="9"/>
      <c r="E865" s="9"/>
      <c r="F865" s="8"/>
    </row>
    <row r="866" spans="1:6" x14ac:dyDescent="0.25">
      <c r="A866" s="6"/>
      <c r="B866" s="7"/>
      <c r="C866" s="15"/>
      <c r="D866" s="9"/>
      <c r="E866" s="9"/>
      <c r="F866" s="8"/>
    </row>
    <row r="867" spans="1:6" x14ac:dyDescent="0.25">
      <c r="A867" s="6"/>
      <c r="B867" s="7"/>
      <c r="C867" s="15"/>
      <c r="D867" s="9"/>
      <c r="E867" s="9"/>
      <c r="F867" s="8"/>
    </row>
    <row r="868" spans="1:6" x14ac:dyDescent="0.25">
      <c r="A868" s="6"/>
      <c r="B868" s="7"/>
      <c r="C868" s="15"/>
      <c r="D868" s="9"/>
      <c r="E868" s="9"/>
      <c r="F868" s="8"/>
    </row>
    <row r="869" spans="1:6" x14ac:dyDescent="0.25">
      <c r="A869" s="6"/>
      <c r="B869" s="7"/>
      <c r="C869" s="15"/>
      <c r="D869" s="9"/>
      <c r="E869" s="9"/>
      <c r="F869" s="8"/>
    </row>
    <row r="870" spans="1:6" x14ac:dyDescent="0.25">
      <c r="A870" s="6"/>
      <c r="B870" s="7"/>
      <c r="C870" s="15"/>
      <c r="D870" s="9"/>
      <c r="E870" s="9"/>
      <c r="F870" s="8"/>
    </row>
    <row r="871" spans="1:6" x14ac:dyDescent="0.25">
      <c r="A871" s="6"/>
      <c r="B871" s="7"/>
      <c r="C871" s="15"/>
      <c r="D871" s="9"/>
      <c r="E871" s="9"/>
      <c r="F871" s="8"/>
    </row>
    <row r="872" spans="1:6" x14ac:dyDescent="0.25">
      <c r="A872" s="6"/>
      <c r="B872" s="7"/>
      <c r="C872" s="15"/>
      <c r="D872" s="9"/>
      <c r="E872" s="9"/>
      <c r="F872" s="8"/>
    </row>
    <row r="873" spans="1:6" x14ac:dyDescent="0.25">
      <c r="A873" s="6"/>
      <c r="B873" s="7"/>
      <c r="C873" s="15"/>
      <c r="D873" s="9"/>
      <c r="E873" s="9"/>
      <c r="F873" s="8"/>
    </row>
    <row r="874" spans="1:6" x14ac:dyDescent="0.25">
      <c r="A874" s="6"/>
      <c r="B874" s="7"/>
      <c r="C874" s="15"/>
      <c r="D874" s="9"/>
      <c r="E874" s="9"/>
      <c r="F874" s="8"/>
    </row>
    <row r="875" spans="1:6" x14ac:dyDescent="0.25">
      <c r="A875" s="6"/>
      <c r="B875" s="7"/>
      <c r="C875" s="15"/>
      <c r="D875" s="9"/>
      <c r="E875" s="9"/>
      <c r="F875" s="8"/>
    </row>
    <row r="876" spans="1:6" x14ac:dyDescent="0.25">
      <c r="A876" s="6"/>
      <c r="B876" s="7"/>
      <c r="C876" s="15"/>
      <c r="D876" s="9"/>
      <c r="E876" s="9"/>
      <c r="F876" s="8"/>
    </row>
    <row r="877" spans="1:6" x14ac:dyDescent="0.25">
      <c r="A877" s="6"/>
      <c r="B877" s="7"/>
      <c r="C877" s="15"/>
      <c r="D877" s="9"/>
      <c r="E877" s="9"/>
      <c r="F877" s="8"/>
    </row>
    <row r="878" spans="1:6" x14ac:dyDescent="0.25">
      <c r="A878" s="6"/>
      <c r="B878" s="7"/>
      <c r="C878" s="15"/>
      <c r="D878" s="9"/>
      <c r="E878" s="9"/>
      <c r="F878" s="8"/>
    </row>
    <row r="879" spans="1:6" x14ac:dyDescent="0.25">
      <c r="A879" s="6"/>
      <c r="B879" s="7"/>
      <c r="C879" s="15"/>
      <c r="D879" s="9"/>
      <c r="E879" s="9"/>
      <c r="F879" s="8"/>
    </row>
    <row r="880" spans="1:6" x14ac:dyDescent="0.25">
      <c r="A880" s="6"/>
      <c r="B880" s="7"/>
      <c r="C880" s="15"/>
      <c r="D880" s="9"/>
      <c r="E880" s="9"/>
      <c r="F880" s="8"/>
    </row>
    <row r="881" spans="1:6" x14ac:dyDescent="0.25">
      <c r="A881" s="6"/>
      <c r="B881" s="7"/>
      <c r="C881" s="15"/>
      <c r="D881" s="9"/>
      <c r="E881" s="9"/>
      <c r="F881" s="8"/>
    </row>
    <row r="882" spans="1:6" x14ac:dyDescent="0.25">
      <c r="A882" s="6"/>
      <c r="B882" s="7"/>
      <c r="C882" s="15"/>
      <c r="D882" s="9"/>
      <c r="E882" s="9"/>
      <c r="F882" s="8"/>
    </row>
    <row r="883" spans="1:6" x14ac:dyDescent="0.25">
      <c r="A883" s="6"/>
      <c r="B883" s="7"/>
      <c r="C883" s="15"/>
      <c r="D883" s="9"/>
      <c r="E883" s="9"/>
      <c r="F883" s="8"/>
    </row>
    <row r="884" spans="1:6" x14ac:dyDescent="0.25">
      <c r="A884" s="6"/>
      <c r="B884" s="7"/>
      <c r="C884" s="15"/>
      <c r="D884" s="9"/>
      <c r="E884" s="9"/>
      <c r="F884" s="8"/>
    </row>
    <row r="885" spans="1:6" x14ac:dyDescent="0.25">
      <c r="A885" s="6"/>
      <c r="B885" s="7"/>
      <c r="C885" s="15"/>
      <c r="D885" s="9"/>
      <c r="E885" s="9"/>
      <c r="F885" s="8"/>
    </row>
    <row r="886" spans="1:6" x14ac:dyDescent="0.25">
      <c r="A886" s="6"/>
      <c r="B886" s="7"/>
      <c r="C886" s="15"/>
      <c r="D886" s="9"/>
      <c r="E886" s="9"/>
      <c r="F886" s="8"/>
    </row>
    <row r="887" spans="1:6" x14ac:dyDescent="0.25">
      <c r="A887" s="6"/>
      <c r="B887" s="7"/>
      <c r="C887" s="15"/>
      <c r="D887" s="9"/>
      <c r="E887" s="9"/>
      <c r="F887" s="8"/>
    </row>
    <row r="888" spans="1:6" x14ac:dyDescent="0.25">
      <c r="A888" s="6"/>
      <c r="B888" s="7"/>
      <c r="C888" s="15"/>
      <c r="D888" s="9"/>
      <c r="E888" s="9"/>
      <c r="F888" s="8"/>
    </row>
    <row r="889" spans="1:6" x14ac:dyDescent="0.25">
      <c r="A889" s="6"/>
      <c r="B889" s="7"/>
      <c r="C889" s="15"/>
      <c r="D889" s="9"/>
      <c r="E889" s="9"/>
      <c r="F889" s="8"/>
    </row>
    <row r="890" spans="1:6" x14ac:dyDescent="0.25">
      <c r="A890" s="6"/>
      <c r="B890" s="7"/>
      <c r="C890" s="15"/>
      <c r="D890" s="9"/>
      <c r="E890" s="9"/>
      <c r="F890" s="8"/>
    </row>
    <row r="891" spans="1:6" x14ac:dyDescent="0.25">
      <c r="A891" s="6"/>
      <c r="B891" s="7"/>
      <c r="C891" s="15"/>
      <c r="D891" s="9"/>
      <c r="E891" s="9"/>
      <c r="F891" s="8"/>
    </row>
    <row r="892" spans="1:6" x14ac:dyDescent="0.25">
      <c r="A892" s="6"/>
      <c r="B892" s="7"/>
      <c r="C892" s="15"/>
      <c r="D892" s="9"/>
      <c r="E892" s="9"/>
      <c r="F892" s="8"/>
    </row>
    <row r="893" spans="1:6" x14ac:dyDescent="0.25">
      <c r="A893" s="6"/>
      <c r="B893" s="7"/>
      <c r="C893" s="15"/>
      <c r="D893" s="9"/>
      <c r="E893" s="9"/>
      <c r="F893" s="8"/>
    </row>
    <row r="894" spans="1:6" x14ac:dyDescent="0.25">
      <c r="A894" s="6"/>
      <c r="B894" s="7"/>
      <c r="C894" s="15"/>
      <c r="D894" s="9"/>
      <c r="E894" s="9"/>
      <c r="F894" s="8"/>
    </row>
    <row r="895" spans="1:6" x14ac:dyDescent="0.25">
      <c r="A895" s="6"/>
      <c r="B895" s="7"/>
      <c r="C895" s="15"/>
      <c r="D895" s="9"/>
      <c r="E895" s="9"/>
      <c r="F895" s="8"/>
    </row>
    <row r="896" spans="1:6" x14ac:dyDescent="0.25">
      <c r="A896" s="6"/>
      <c r="B896" s="7"/>
      <c r="C896" s="15"/>
      <c r="D896" s="9"/>
      <c r="E896" s="9"/>
      <c r="F896" s="8"/>
    </row>
    <row r="897" spans="1:6" x14ac:dyDescent="0.25">
      <c r="A897" s="6"/>
      <c r="B897" s="7"/>
      <c r="C897" s="15"/>
      <c r="D897" s="9"/>
      <c r="E897" s="9"/>
      <c r="F897" s="8"/>
    </row>
    <row r="898" spans="1:6" x14ac:dyDescent="0.25">
      <c r="A898" s="6"/>
      <c r="B898" s="7"/>
      <c r="C898" s="15"/>
      <c r="D898" s="9"/>
      <c r="E898" s="9"/>
      <c r="F898" s="8"/>
    </row>
    <row r="899" spans="1:6" x14ac:dyDescent="0.25">
      <c r="A899" s="6"/>
      <c r="B899" s="7"/>
      <c r="C899" s="15"/>
      <c r="D899" s="9"/>
      <c r="E899" s="9"/>
      <c r="F899" s="8"/>
    </row>
    <row r="900" spans="1:6" x14ac:dyDescent="0.25">
      <c r="A900" s="6"/>
      <c r="B900" s="7"/>
      <c r="C900" s="15"/>
      <c r="D900" s="9"/>
      <c r="E900" s="9"/>
      <c r="F900" s="8"/>
    </row>
    <row r="901" spans="1:6" x14ac:dyDescent="0.25">
      <c r="A901" s="6"/>
      <c r="B901" s="7"/>
      <c r="C901" s="15"/>
      <c r="D901" s="9"/>
      <c r="E901" s="9"/>
      <c r="F901" s="8"/>
    </row>
    <row r="902" spans="1:6" x14ac:dyDescent="0.25">
      <c r="A902" s="6"/>
      <c r="B902" s="7"/>
      <c r="C902" s="15"/>
      <c r="D902" s="9"/>
      <c r="E902" s="9"/>
      <c r="F902" s="8"/>
    </row>
    <row r="903" spans="1:6" x14ac:dyDescent="0.25">
      <c r="A903" s="6"/>
      <c r="B903" s="7"/>
      <c r="C903" s="15"/>
      <c r="D903" s="9"/>
      <c r="E903" s="9"/>
      <c r="F903" s="8"/>
    </row>
    <row r="904" spans="1:6" x14ac:dyDescent="0.25">
      <c r="A904" s="6"/>
      <c r="B904" s="7"/>
      <c r="C904" s="15"/>
      <c r="D904" s="9"/>
      <c r="E904" s="9"/>
      <c r="F904" s="8"/>
    </row>
    <row r="905" spans="1:6" x14ac:dyDescent="0.25">
      <c r="A905" s="6"/>
      <c r="B905" s="7"/>
      <c r="C905" s="15"/>
      <c r="D905" s="9"/>
      <c r="E905" s="9"/>
      <c r="F905" s="8"/>
    </row>
    <row r="906" spans="1:6" x14ac:dyDescent="0.25">
      <c r="A906" s="6"/>
      <c r="B906" s="7"/>
      <c r="C906" s="15"/>
      <c r="D906" s="9"/>
      <c r="E906" s="9"/>
      <c r="F906" s="8"/>
    </row>
    <row r="907" spans="1:6" x14ac:dyDescent="0.25">
      <c r="A907" s="6"/>
      <c r="B907" s="7"/>
      <c r="C907" s="15"/>
      <c r="D907" s="9"/>
      <c r="E907" s="9"/>
      <c r="F907" s="8"/>
    </row>
    <row r="908" spans="1:6" x14ac:dyDescent="0.25">
      <c r="A908" s="6"/>
      <c r="B908" s="7"/>
      <c r="C908" s="15"/>
      <c r="D908" s="9"/>
      <c r="E908" s="9"/>
      <c r="F908" s="8"/>
    </row>
    <row r="909" spans="1:6" x14ac:dyDescent="0.25">
      <c r="A909" s="6"/>
      <c r="B909" s="7"/>
      <c r="C909" s="15"/>
      <c r="D909" s="9"/>
      <c r="E909" s="9"/>
      <c r="F909" s="8"/>
    </row>
    <row r="910" spans="1:6" x14ac:dyDescent="0.25">
      <c r="A910" s="6"/>
      <c r="B910" s="7"/>
      <c r="C910" s="15"/>
      <c r="D910" s="9"/>
      <c r="E910" s="9"/>
      <c r="F910" s="8"/>
    </row>
    <row r="911" spans="1:6" x14ac:dyDescent="0.25">
      <c r="A911" s="6"/>
      <c r="B911" s="7"/>
      <c r="C911" s="15"/>
      <c r="D911" s="9"/>
      <c r="E911" s="9"/>
      <c r="F911" s="8"/>
    </row>
    <row r="912" spans="1:6" x14ac:dyDescent="0.25">
      <c r="A912" s="6"/>
      <c r="B912" s="7"/>
      <c r="C912" s="15"/>
      <c r="D912" s="9"/>
      <c r="E912" s="9"/>
      <c r="F912" s="8"/>
    </row>
    <row r="913" spans="1:6" x14ac:dyDescent="0.25">
      <c r="A913" s="6"/>
      <c r="B913" s="7"/>
      <c r="C913" s="15"/>
      <c r="D913" s="9"/>
      <c r="E913" s="9"/>
      <c r="F913" s="8"/>
    </row>
    <row r="914" spans="1:6" x14ac:dyDescent="0.25">
      <c r="A914" s="6"/>
      <c r="B914" s="7"/>
      <c r="C914" s="15"/>
      <c r="D914" s="9"/>
      <c r="E914" s="9"/>
      <c r="F914" s="8"/>
    </row>
    <row r="915" spans="1:6" x14ac:dyDescent="0.25">
      <c r="A915" s="6"/>
      <c r="B915" s="7"/>
      <c r="C915" s="15"/>
      <c r="D915" s="9"/>
      <c r="E915" s="9"/>
      <c r="F915" s="8"/>
    </row>
    <row r="916" spans="1:6" x14ac:dyDescent="0.25">
      <c r="A916" s="6"/>
      <c r="B916" s="7"/>
      <c r="C916" s="15"/>
      <c r="D916" s="9"/>
      <c r="E916" s="9"/>
      <c r="F916" s="8"/>
    </row>
    <row r="917" spans="1:6" x14ac:dyDescent="0.25">
      <c r="A917" s="6"/>
      <c r="B917" s="7"/>
      <c r="C917" s="15"/>
      <c r="D917" s="9"/>
      <c r="E917" s="9"/>
      <c r="F917" s="8"/>
    </row>
    <row r="918" spans="1:6" x14ac:dyDescent="0.25">
      <c r="A918" s="6"/>
      <c r="B918" s="7"/>
      <c r="C918" s="15"/>
      <c r="D918" s="9"/>
      <c r="E918" s="9"/>
      <c r="F918" s="8"/>
    </row>
    <row r="919" spans="1:6" x14ac:dyDescent="0.25">
      <c r="A919" s="6"/>
      <c r="B919" s="7"/>
      <c r="C919" s="15"/>
      <c r="D919" s="9"/>
      <c r="E919" s="9"/>
      <c r="F919" s="8"/>
    </row>
    <row r="920" spans="1:6" x14ac:dyDescent="0.25">
      <c r="A920" s="6"/>
      <c r="B920" s="7"/>
      <c r="C920" s="15"/>
      <c r="D920" s="9"/>
      <c r="E920" s="9"/>
      <c r="F920" s="8"/>
    </row>
    <row r="921" spans="1:6" x14ac:dyDescent="0.25">
      <c r="A921" s="6"/>
      <c r="B921" s="7"/>
      <c r="C921" s="15"/>
      <c r="D921" s="9"/>
      <c r="E921" s="9"/>
      <c r="F921" s="8"/>
    </row>
    <row r="922" spans="1:6" x14ac:dyDescent="0.25">
      <c r="A922" s="6"/>
      <c r="B922" s="7"/>
      <c r="C922" s="15"/>
      <c r="D922" s="9"/>
      <c r="E922" s="9"/>
      <c r="F922" s="8"/>
    </row>
    <row r="923" spans="1:6" x14ac:dyDescent="0.25">
      <c r="A923" s="6"/>
      <c r="B923" s="7"/>
      <c r="C923" s="15"/>
      <c r="D923" s="9"/>
      <c r="E923" s="9"/>
      <c r="F923" s="8"/>
    </row>
    <row r="924" spans="1:6" x14ac:dyDescent="0.25">
      <c r="A924" s="6"/>
      <c r="B924" s="7"/>
      <c r="C924" s="15"/>
      <c r="D924" s="9"/>
      <c r="E924" s="9"/>
      <c r="F924" s="8"/>
    </row>
    <row r="925" spans="1:6" x14ac:dyDescent="0.25">
      <c r="A925" s="6"/>
      <c r="B925" s="7"/>
      <c r="C925" s="15"/>
      <c r="D925" s="9"/>
      <c r="E925" s="9"/>
      <c r="F925" s="8"/>
    </row>
    <row r="926" spans="1:6" x14ac:dyDescent="0.25">
      <c r="A926" s="6"/>
      <c r="B926" s="7"/>
      <c r="C926" s="15"/>
      <c r="D926" s="9"/>
      <c r="E926" s="9"/>
      <c r="F926" s="8"/>
    </row>
    <row r="927" spans="1:6" x14ac:dyDescent="0.25">
      <c r="A927" s="6"/>
      <c r="B927" s="7"/>
      <c r="C927" s="15"/>
      <c r="D927" s="9"/>
      <c r="E927" s="9"/>
      <c r="F927" s="8"/>
    </row>
    <row r="928" spans="1:6" x14ac:dyDescent="0.25">
      <c r="A928" s="6"/>
      <c r="B928" s="7"/>
      <c r="C928" s="15"/>
      <c r="D928" s="9"/>
      <c r="E928" s="9"/>
      <c r="F928" s="8"/>
    </row>
    <row r="929" spans="1:6" x14ac:dyDescent="0.25">
      <c r="A929" s="6"/>
      <c r="B929" s="7"/>
      <c r="C929" s="15"/>
      <c r="D929" s="9"/>
      <c r="E929" s="9"/>
      <c r="F929" s="8"/>
    </row>
    <row r="930" spans="1:6" x14ac:dyDescent="0.25">
      <c r="A930" s="6"/>
      <c r="B930" s="7"/>
      <c r="C930" s="15"/>
      <c r="D930" s="9"/>
      <c r="E930" s="9"/>
      <c r="F930" s="8"/>
    </row>
    <row r="931" spans="1:6" x14ac:dyDescent="0.25">
      <c r="A931" s="6"/>
      <c r="B931" s="7"/>
      <c r="C931" s="15"/>
      <c r="D931" s="9"/>
      <c r="E931" s="9"/>
      <c r="F931" s="8"/>
    </row>
    <row r="932" spans="1:6" x14ac:dyDescent="0.25">
      <c r="A932" s="6"/>
      <c r="B932" s="7"/>
      <c r="C932" s="15"/>
      <c r="D932" s="9"/>
      <c r="E932" s="9"/>
      <c r="F932" s="8"/>
    </row>
    <row r="933" spans="1:6" x14ac:dyDescent="0.25">
      <c r="A933" s="6"/>
      <c r="B933" s="7"/>
      <c r="C933" s="15"/>
      <c r="D933" s="9"/>
      <c r="E933" s="9"/>
      <c r="F933" s="8"/>
    </row>
    <row r="934" spans="1:6" x14ac:dyDescent="0.25">
      <c r="A934" s="6"/>
      <c r="B934" s="7"/>
      <c r="C934" s="15"/>
      <c r="D934" s="9"/>
      <c r="E934" s="9"/>
      <c r="F934" s="8"/>
    </row>
    <row r="935" spans="1:6" x14ac:dyDescent="0.25">
      <c r="A935" s="6"/>
      <c r="B935" s="7"/>
      <c r="C935" s="15"/>
      <c r="D935" s="9"/>
      <c r="E935" s="9"/>
      <c r="F935" s="8"/>
    </row>
    <row r="936" spans="1:6" x14ac:dyDescent="0.25">
      <c r="A936" s="6"/>
      <c r="B936" s="7"/>
      <c r="C936" s="15"/>
      <c r="D936" s="9"/>
      <c r="E936" s="9"/>
      <c r="F936" s="8"/>
    </row>
    <row r="937" spans="1:6" x14ac:dyDescent="0.25">
      <c r="A937" s="6"/>
      <c r="B937" s="7"/>
      <c r="C937" s="15"/>
      <c r="D937" s="9"/>
      <c r="E937" s="9"/>
      <c r="F937" s="8"/>
    </row>
    <row r="938" spans="1:6" x14ac:dyDescent="0.25">
      <c r="A938" s="6"/>
      <c r="B938" s="7"/>
      <c r="C938" s="15"/>
      <c r="D938" s="9"/>
      <c r="E938" s="9"/>
      <c r="F938" s="8"/>
    </row>
    <row r="939" spans="1:6" x14ac:dyDescent="0.25">
      <c r="A939" s="6"/>
      <c r="B939" s="7"/>
      <c r="C939" s="15"/>
      <c r="D939" s="9"/>
      <c r="E939" s="9"/>
      <c r="F939" s="8"/>
    </row>
    <row r="940" spans="1:6" x14ac:dyDescent="0.25">
      <c r="A940" s="6"/>
      <c r="B940" s="7"/>
      <c r="C940" s="15"/>
      <c r="D940" s="9"/>
      <c r="E940" s="9"/>
      <c r="F940" s="8"/>
    </row>
    <row r="941" spans="1:6" x14ac:dyDescent="0.25">
      <c r="A941" s="6"/>
      <c r="B941" s="7"/>
      <c r="C941" s="15"/>
      <c r="D941" s="9"/>
      <c r="E941" s="9"/>
      <c r="F941" s="8"/>
    </row>
    <row r="942" spans="1:6" x14ac:dyDescent="0.25">
      <c r="A942" s="6"/>
      <c r="B942" s="7"/>
      <c r="C942" s="15"/>
      <c r="D942" s="9"/>
      <c r="E942" s="9"/>
      <c r="F942" s="8"/>
    </row>
    <row r="943" spans="1:6" x14ac:dyDescent="0.25">
      <c r="A943" s="6"/>
      <c r="B943" s="7"/>
      <c r="C943" s="15"/>
      <c r="D943" s="9"/>
      <c r="E943" s="9"/>
      <c r="F943" s="8"/>
    </row>
    <row r="944" spans="1:6" x14ac:dyDescent="0.25">
      <c r="A944" s="6"/>
      <c r="B944" s="7"/>
      <c r="C944" s="15"/>
      <c r="D944" s="9"/>
      <c r="E944" s="9"/>
      <c r="F944" s="8"/>
    </row>
    <row r="945" spans="1:6" x14ac:dyDescent="0.25">
      <c r="A945" s="6"/>
      <c r="B945" s="7"/>
      <c r="C945" s="15"/>
      <c r="D945" s="9"/>
      <c r="E945" s="9"/>
      <c r="F945" s="8"/>
    </row>
    <row r="946" spans="1:6" x14ac:dyDescent="0.25">
      <c r="A946" s="6"/>
      <c r="B946" s="7"/>
      <c r="C946" s="15"/>
      <c r="D946" s="9"/>
      <c r="E946" s="9"/>
      <c r="F946" s="8"/>
    </row>
    <row r="947" spans="1:6" x14ac:dyDescent="0.25">
      <c r="A947" s="6"/>
      <c r="B947" s="7"/>
      <c r="C947" s="15"/>
      <c r="D947" s="9"/>
      <c r="E947" s="9"/>
      <c r="F947" s="8"/>
    </row>
    <row r="948" spans="1:6" x14ac:dyDescent="0.25">
      <c r="A948" s="6"/>
      <c r="B948" s="7"/>
      <c r="C948" s="15"/>
      <c r="D948" s="9"/>
      <c r="E948" s="9"/>
      <c r="F948" s="8"/>
    </row>
    <row r="949" spans="1:6" x14ac:dyDescent="0.25">
      <c r="A949" s="6"/>
      <c r="B949" s="7"/>
      <c r="C949" s="15"/>
      <c r="D949" s="9"/>
      <c r="E949" s="9"/>
      <c r="F949" s="8"/>
    </row>
    <row r="950" spans="1:6" x14ac:dyDescent="0.25">
      <c r="A950" s="6"/>
      <c r="B950" s="7"/>
      <c r="C950" s="15"/>
      <c r="D950" s="9"/>
      <c r="E950" s="9"/>
      <c r="F950" s="8"/>
    </row>
    <row r="951" spans="1:6" x14ac:dyDescent="0.25">
      <c r="A951" s="6"/>
      <c r="B951" s="7"/>
      <c r="C951" s="15"/>
      <c r="D951" s="9"/>
      <c r="E951" s="9"/>
      <c r="F951" s="8"/>
    </row>
    <row r="952" spans="1:6" x14ac:dyDescent="0.25">
      <c r="A952" s="6"/>
      <c r="B952" s="7"/>
      <c r="C952" s="15"/>
      <c r="D952" s="9"/>
      <c r="E952" s="9"/>
      <c r="F952" s="8"/>
    </row>
    <row r="953" spans="1:6" x14ac:dyDescent="0.25">
      <c r="A953" s="6"/>
      <c r="B953" s="7"/>
      <c r="C953" s="15"/>
      <c r="D953" s="9"/>
      <c r="E953" s="9"/>
      <c r="F953" s="8"/>
    </row>
    <row r="954" spans="1:6" x14ac:dyDescent="0.25">
      <c r="A954" s="6"/>
      <c r="B954" s="7"/>
      <c r="C954" s="15"/>
      <c r="D954" s="9"/>
      <c r="E954" s="9"/>
      <c r="F954" s="8"/>
    </row>
    <row r="955" spans="1:6" x14ac:dyDescent="0.25">
      <c r="A955" s="6"/>
      <c r="B955" s="7"/>
      <c r="C955" s="15"/>
      <c r="D955" s="9"/>
      <c r="E955" s="9"/>
      <c r="F955" s="8"/>
    </row>
    <row r="956" spans="1:6" x14ac:dyDescent="0.25">
      <c r="A956" s="6"/>
      <c r="B956" s="7"/>
      <c r="C956" s="15"/>
      <c r="D956" s="9"/>
      <c r="E956" s="9"/>
      <c r="F956" s="8"/>
    </row>
    <row r="957" spans="1:6" x14ac:dyDescent="0.25">
      <c r="A957" s="6"/>
      <c r="B957" s="7"/>
      <c r="C957" s="15"/>
      <c r="D957" s="9"/>
      <c r="E957" s="9"/>
      <c r="F957" s="8"/>
    </row>
    <row r="958" spans="1:6" x14ac:dyDescent="0.25">
      <c r="A958" s="6"/>
      <c r="B958" s="7"/>
      <c r="C958" s="15"/>
      <c r="D958" s="9"/>
      <c r="E958" s="9"/>
      <c r="F958" s="8"/>
    </row>
    <row r="959" spans="1:6" x14ac:dyDescent="0.25">
      <c r="A959" s="6"/>
      <c r="B959" s="7"/>
      <c r="C959" s="15"/>
      <c r="D959" s="9"/>
      <c r="E959" s="9"/>
      <c r="F959" s="8"/>
    </row>
    <row r="960" spans="1:6" x14ac:dyDescent="0.25">
      <c r="A960" s="6"/>
      <c r="B960" s="7"/>
      <c r="C960" s="15"/>
      <c r="D960" s="9"/>
      <c r="E960" s="9"/>
      <c r="F960" s="8"/>
    </row>
    <row r="961" spans="1:6" x14ac:dyDescent="0.25">
      <c r="A961" s="6"/>
      <c r="B961" s="7"/>
      <c r="C961" s="15"/>
      <c r="D961" s="9"/>
      <c r="E961" s="9"/>
      <c r="F961" s="8"/>
    </row>
    <row r="962" spans="1:6" x14ac:dyDescent="0.25">
      <c r="A962" s="6"/>
      <c r="B962" s="7"/>
      <c r="C962" s="15"/>
      <c r="D962" s="9"/>
      <c r="E962" s="9"/>
      <c r="F962" s="8"/>
    </row>
    <row r="963" spans="1:6" x14ac:dyDescent="0.25">
      <c r="A963" s="6"/>
      <c r="B963" s="7"/>
      <c r="C963" s="15"/>
      <c r="D963" s="9"/>
      <c r="E963" s="9"/>
      <c r="F963" s="8"/>
    </row>
    <row r="964" spans="1:6" x14ac:dyDescent="0.25">
      <c r="A964" s="6"/>
      <c r="B964" s="7"/>
      <c r="C964" s="15"/>
      <c r="D964" s="9"/>
      <c r="E964" s="9"/>
      <c r="F964" s="8"/>
    </row>
    <row r="965" spans="1:6" x14ac:dyDescent="0.25">
      <c r="A965" s="6"/>
      <c r="B965" s="7"/>
      <c r="C965" s="15"/>
      <c r="D965" s="9"/>
      <c r="E965" s="9"/>
      <c r="F965" s="8"/>
    </row>
    <row r="966" spans="1:6" x14ac:dyDescent="0.25">
      <c r="A966" s="6"/>
      <c r="B966" s="7"/>
      <c r="C966" s="15"/>
      <c r="D966" s="9"/>
      <c r="E966" s="9"/>
      <c r="F966" s="8"/>
    </row>
    <row r="967" spans="1:6" x14ac:dyDescent="0.25">
      <c r="A967" s="6"/>
      <c r="B967" s="7"/>
      <c r="C967" s="15"/>
      <c r="D967" s="9"/>
      <c r="E967" s="9"/>
      <c r="F967" s="8"/>
    </row>
    <row r="968" spans="1:6" x14ac:dyDescent="0.25">
      <c r="A968" s="6"/>
      <c r="B968" s="7"/>
      <c r="C968" s="15"/>
      <c r="D968" s="9"/>
      <c r="E968" s="9"/>
      <c r="F968" s="8"/>
    </row>
    <row r="969" spans="1:6" x14ac:dyDescent="0.25">
      <c r="A969" s="6"/>
      <c r="B969" s="7"/>
      <c r="C969" s="15"/>
      <c r="D969" s="9"/>
      <c r="E969" s="9"/>
      <c r="F969" s="8"/>
    </row>
    <row r="970" spans="1:6" x14ac:dyDescent="0.25">
      <c r="A970" s="6"/>
      <c r="B970" s="7"/>
      <c r="C970" s="15"/>
      <c r="D970" s="9"/>
      <c r="E970" s="9"/>
      <c r="F970" s="8"/>
    </row>
    <row r="971" spans="1:6" x14ac:dyDescent="0.25">
      <c r="A971" s="6"/>
      <c r="B971" s="7"/>
      <c r="C971" s="15"/>
      <c r="D971" s="9"/>
      <c r="E971" s="9"/>
      <c r="F971" s="8"/>
    </row>
    <row r="972" spans="1:6" x14ac:dyDescent="0.25">
      <c r="A972" s="6"/>
      <c r="B972" s="7"/>
      <c r="C972" s="15"/>
      <c r="D972" s="9"/>
      <c r="E972" s="9"/>
      <c r="F972" s="8"/>
    </row>
    <row r="973" spans="1:6" x14ac:dyDescent="0.25">
      <c r="A973" s="6"/>
      <c r="B973" s="7"/>
      <c r="C973" s="15"/>
      <c r="D973" s="9"/>
      <c r="E973" s="9"/>
      <c r="F973" s="8"/>
    </row>
    <row r="974" spans="1:6" x14ac:dyDescent="0.25">
      <c r="A974" s="6"/>
      <c r="B974" s="7"/>
      <c r="C974" s="15"/>
      <c r="D974" s="9"/>
      <c r="E974" s="9"/>
      <c r="F974" s="8"/>
    </row>
    <row r="975" spans="1:6" x14ac:dyDescent="0.25">
      <c r="A975" s="6"/>
      <c r="B975" s="7"/>
      <c r="C975" s="15"/>
      <c r="D975" s="9"/>
      <c r="E975" s="9"/>
      <c r="F975" s="8"/>
    </row>
    <row r="976" spans="1:6" x14ac:dyDescent="0.25">
      <c r="A976" s="6"/>
      <c r="B976" s="7"/>
      <c r="C976" s="15"/>
      <c r="D976" s="9"/>
      <c r="E976" s="9"/>
      <c r="F976" s="8"/>
    </row>
    <row r="977" spans="1:6" x14ac:dyDescent="0.25">
      <c r="A977" s="6"/>
      <c r="B977" s="7"/>
      <c r="C977" s="15"/>
      <c r="D977" s="9"/>
      <c r="E977" s="9"/>
      <c r="F977" s="8"/>
    </row>
    <row r="978" spans="1:6" x14ac:dyDescent="0.25">
      <c r="A978" s="6"/>
      <c r="B978" s="7"/>
      <c r="C978" s="15"/>
      <c r="D978" s="9"/>
      <c r="E978" s="9"/>
      <c r="F978" s="8"/>
    </row>
    <row r="979" spans="1:6" x14ac:dyDescent="0.25">
      <c r="A979" s="6"/>
      <c r="B979" s="7"/>
      <c r="C979" s="15"/>
      <c r="D979" s="9"/>
      <c r="E979" s="9"/>
      <c r="F979" s="8"/>
    </row>
    <row r="980" spans="1:6" x14ac:dyDescent="0.25">
      <c r="A980" s="6"/>
      <c r="B980" s="7"/>
      <c r="C980" s="15"/>
      <c r="D980" s="9"/>
      <c r="E980" s="9"/>
      <c r="F980" s="8"/>
    </row>
    <row r="981" spans="1:6" x14ac:dyDescent="0.25">
      <c r="A981" s="6"/>
      <c r="B981" s="7"/>
      <c r="C981" s="15"/>
      <c r="D981" s="9"/>
      <c r="E981" s="9"/>
      <c r="F981" s="8"/>
    </row>
    <row r="982" spans="1:6" x14ac:dyDescent="0.25">
      <c r="A982" s="6"/>
      <c r="B982" s="7"/>
      <c r="C982" s="15"/>
      <c r="D982" s="9"/>
      <c r="E982" s="9"/>
      <c r="F982" s="8"/>
    </row>
    <row r="983" spans="1:6" x14ac:dyDescent="0.25">
      <c r="A983" s="6"/>
      <c r="B983" s="7"/>
      <c r="C983" s="15"/>
      <c r="D983" s="9"/>
      <c r="E983" s="9"/>
      <c r="F983" s="8"/>
    </row>
    <row r="984" spans="1:6" x14ac:dyDescent="0.25">
      <c r="A984" s="6"/>
      <c r="B984" s="7"/>
      <c r="C984" s="15"/>
      <c r="D984" s="9"/>
      <c r="E984" s="9"/>
      <c r="F984" s="8"/>
    </row>
    <row r="985" spans="1:6" x14ac:dyDescent="0.25">
      <c r="A985" s="6"/>
      <c r="B985" s="7"/>
      <c r="C985" s="15"/>
      <c r="D985" s="9"/>
      <c r="E985" s="9"/>
      <c r="F985" s="8"/>
    </row>
    <row r="986" spans="1:6" x14ac:dyDescent="0.25">
      <c r="A986" s="6"/>
      <c r="B986" s="7"/>
      <c r="C986" s="15"/>
      <c r="D986" s="9"/>
      <c r="E986" s="9"/>
      <c r="F986" s="8"/>
    </row>
    <row r="987" spans="1:6" x14ac:dyDescent="0.25">
      <c r="A987" s="6"/>
      <c r="B987" s="7"/>
      <c r="C987" s="15"/>
      <c r="D987" s="9"/>
      <c r="E987" s="9"/>
      <c r="F987" s="8"/>
    </row>
    <row r="988" spans="1:6" x14ac:dyDescent="0.25">
      <c r="A988" s="6"/>
      <c r="B988" s="7"/>
      <c r="C988" s="15"/>
      <c r="D988" s="9"/>
      <c r="E988" s="9"/>
      <c r="F988" s="8"/>
    </row>
    <row r="989" spans="1:6" x14ac:dyDescent="0.25">
      <c r="A989" s="6"/>
      <c r="B989" s="7"/>
      <c r="C989" s="15"/>
      <c r="D989" s="9"/>
      <c r="E989" s="9"/>
      <c r="F989" s="8"/>
    </row>
    <row r="990" spans="1:6" x14ac:dyDescent="0.25">
      <c r="A990" s="6"/>
      <c r="B990" s="7"/>
      <c r="C990" s="15"/>
      <c r="D990" s="9"/>
      <c r="E990" s="9"/>
      <c r="F990" s="8"/>
    </row>
    <row r="991" spans="1:6" x14ac:dyDescent="0.25">
      <c r="A991" s="6"/>
      <c r="B991" s="7"/>
      <c r="C991" s="15"/>
      <c r="D991" s="9"/>
      <c r="E991" s="9"/>
      <c r="F991" s="8"/>
    </row>
    <row r="992" spans="1:6" x14ac:dyDescent="0.25">
      <c r="A992" s="6"/>
      <c r="B992" s="7"/>
      <c r="C992" s="15"/>
      <c r="D992" s="9"/>
      <c r="E992" s="9"/>
      <c r="F992" s="8"/>
    </row>
    <row r="993" spans="1:6" x14ac:dyDescent="0.25">
      <c r="A993" s="6"/>
      <c r="B993" s="7"/>
      <c r="C993" s="15"/>
      <c r="D993" s="9"/>
      <c r="E993" s="9"/>
      <c r="F993" s="8"/>
    </row>
    <row r="994" spans="1:6" x14ac:dyDescent="0.25">
      <c r="A994" s="6"/>
      <c r="B994" s="7"/>
      <c r="C994" s="15"/>
      <c r="D994" s="9"/>
      <c r="E994" s="9"/>
      <c r="F994" s="8"/>
    </row>
    <row r="995" spans="1:6" x14ac:dyDescent="0.25">
      <c r="A995" s="6"/>
      <c r="B995" s="7"/>
      <c r="C995" s="15"/>
      <c r="D995" s="9"/>
      <c r="E995" s="9"/>
      <c r="F995" s="8"/>
    </row>
    <row r="996" spans="1:6" x14ac:dyDescent="0.25">
      <c r="A996" s="6"/>
      <c r="B996" s="7"/>
      <c r="C996" s="15"/>
      <c r="D996" s="9"/>
      <c r="E996" s="9"/>
      <c r="F996" s="8"/>
    </row>
    <row r="997" spans="1:6" x14ac:dyDescent="0.25">
      <c r="A997" s="6"/>
      <c r="B997" s="7"/>
      <c r="C997" s="15"/>
      <c r="D997" s="9"/>
      <c r="E997" s="9"/>
      <c r="F997" s="8"/>
    </row>
    <row r="998" spans="1:6" x14ac:dyDescent="0.25">
      <c r="A998" s="6"/>
      <c r="B998" s="7"/>
      <c r="C998" s="15"/>
      <c r="D998" s="9"/>
      <c r="E998" s="9"/>
      <c r="F998" s="8"/>
    </row>
    <row r="999" spans="1:6" x14ac:dyDescent="0.25">
      <c r="A999" s="6"/>
      <c r="B999" s="7"/>
      <c r="C999" s="15"/>
      <c r="D999" s="9"/>
      <c r="E999" s="9"/>
      <c r="F999" s="8"/>
    </row>
    <row r="1000" spans="1:6" x14ac:dyDescent="0.25">
      <c r="A1000" s="6"/>
      <c r="B1000" s="7"/>
      <c r="C1000" s="15"/>
      <c r="D1000" s="9"/>
      <c r="E1000" s="9"/>
      <c r="F1000" s="8"/>
    </row>
    <row r="1001" spans="1:6" x14ac:dyDescent="0.25">
      <c r="A1001" s="6"/>
      <c r="B1001" s="7"/>
      <c r="C1001" s="15"/>
      <c r="D1001" s="9"/>
      <c r="E1001" s="9"/>
      <c r="F1001" s="8"/>
    </row>
    <row r="1002" spans="1:6" x14ac:dyDescent="0.25">
      <c r="A1002" s="6"/>
      <c r="B1002" s="7"/>
      <c r="C1002" s="15"/>
      <c r="D1002" s="9"/>
      <c r="E1002" s="9"/>
      <c r="F1002" s="8"/>
    </row>
    <row r="1003" spans="1:6" x14ac:dyDescent="0.25">
      <c r="A1003" s="6"/>
      <c r="B1003" s="7"/>
      <c r="C1003" s="15"/>
      <c r="D1003" s="9"/>
      <c r="E1003" s="9"/>
      <c r="F1003" s="8"/>
    </row>
    <row r="1004" spans="1:6" x14ac:dyDescent="0.25">
      <c r="A1004" s="6"/>
      <c r="B1004" s="7"/>
      <c r="C1004" s="15"/>
      <c r="D1004" s="9"/>
      <c r="E1004" s="9"/>
      <c r="F1004" s="8"/>
    </row>
    <row r="1005" spans="1:6" x14ac:dyDescent="0.25">
      <c r="A1005" s="6"/>
      <c r="B1005" s="7"/>
      <c r="C1005" s="15"/>
      <c r="D1005" s="9"/>
      <c r="E1005" s="9"/>
      <c r="F1005" s="8"/>
    </row>
    <row r="1006" spans="1:6" x14ac:dyDescent="0.25">
      <c r="A1006" s="6"/>
      <c r="B1006" s="7"/>
      <c r="C1006" s="15"/>
      <c r="D1006" s="9"/>
      <c r="E1006" s="9"/>
      <c r="F1006" s="8"/>
    </row>
    <row r="1007" spans="1:6" x14ac:dyDescent="0.25">
      <c r="A1007" s="6"/>
      <c r="B1007" s="7"/>
      <c r="C1007" s="15"/>
      <c r="D1007" s="9"/>
      <c r="E1007" s="9"/>
      <c r="F1007" s="8"/>
    </row>
    <row r="1008" spans="1:6" x14ac:dyDescent="0.25">
      <c r="A1008" s="6"/>
      <c r="B1008" s="7"/>
      <c r="C1008" s="15"/>
      <c r="D1008" s="9"/>
      <c r="E1008" s="9"/>
      <c r="F1008" s="8"/>
    </row>
    <row r="1009" spans="1:6" x14ac:dyDescent="0.25">
      <c r="A1009" s="6"/>
      <c r="B1009" s="7"/>
      <c r="C1009" s="15"/>
      <c r="D1009" s="9"/>
      <c r="E1009" s="9"/>
      <c r="F1009" s="8"/>
    </row>
    <row r="1010" spans="1:6" x14ac:dyDescent="0.25">
      <c r="A1010" s="6"/>
      <c r="B1010" s="7"/>
      <c r="C1010" s="15"/>
      <c r="D1010" s="9"/>
      <c r="E1010" s="9"/>
      <c r="F1010" s="8"/>
    </row>
    <row r="1011" spans="1:6" x14ac:dyDescent="0.25">
      <c r="A1011" s="6"/>
      <c r="B1011" s="7"/>
      <c r="C1011" s="15"/>
      <c r="D1011" s="9"/>
      <c r="E1011" s="9"/>
      <c r="F1011" s="8"/>
    </row>
    <row r="1012" spans="1:6" x14ac:dyDescent="0.25">
      <c r="A1012" s="6"/>
      <c r="B1012" s="7"/>
      <c r="C1012" s="15"/>
      <c r="D1012" s="9"/>
      <c r="E1012" s="9"/>
      <c r="F1012" s="8"/>
    </row>
    <row r="1013" spans="1:6" x14ac:dyDescent="0.25">
      <c r="A1013" s="6"/>
      <c r="B1013" s="7"/>
      <c r="C1013" s="15"/>
      <c r="D1013" s="9"/>
      <c r="E1013" s="9"/>
      <c r="F1013" s="8"/>
    </row>
    <row r="1014" spans="1:6" x14ac:dyDescent="0.25">
      <c r="A1014" s="6"/>
      <c r="B1014" s="7"/>
      <c r="C1014" s="15"/>
      <c r="D1014" s="9"/>
      <c r="E1014" s="9"/>
      <c r="F1014" s="8"/>
    </row>
    <row r="1015" spans="1:6" x14ac:dyDescent="0.25">
      <c r="A1015" s="6"/>
      <c r="B1015" s="7"/>
      <c r="C1015" s="15"/>
      <c r="D1015" s="9"/>
      <c r="E1015" s="9"/>
      <c r="F1015" s="8"/>
    </row>
    <row r="1016" spans="1:6" x14ac:dyDescent="0.25">
      <c r="A1016" s="6"/>
      <c r="B1016" s="7"/>
      <c r="C1016" s="15"/>
      <c r="D1016" s="9"/>
      <c r="E1016" s="9"/>
      <c r="F1016" s="8"/>
    </row>
    <row r="1017" spans="1:6" x14ac:dyDescent="0.25">
      <c r="A1017" s="6"/>
      <c r="B1017" s="7"/>
      <c r="C1017" s="15"/>
      <c r="D1017" s="9"/>
      <c r="E1017" s="9"/>
      <c r="F1017" s="8"/>
    </row>
    <row r="1018" spans="1:6" x14ac:dyDescent="0.25">
      <c r="A1018" s="6"/>
      <c r="B1018" s="7"/>
      <c r="C1018" s="15"/>
      <c r="D1018" s="9"/>
      <c r="E1018" s="9"/>
      <c r="F1018" s="8"/>
    </row>
    <row r="1019" spans="1:6" x14ac:dyDescent="0.25">
      <c r="A1019" s="6"/>
      <c r="B1019" s="7"/>
      <c r="C1019" s="15"/>
      <c r="D1019" s="9"/>
      <c r="E1019" s="9"/>
      <c r="F1019" s="8"/>
    </row>
    <row r="1020" spans="1:6" x14ac:dyDescent="0.25">
      <c r="A1020" s="6"/>
      <c r="B1020" s="7"/>
      <c r="C1020" s="15"/>
      <c r="D1020" s="9"/>
      <c r="E1020" s="9"/>
      <c r="F1020" s="8"/>
    </row>
    <row r="1021" spans="1:6" x14ac:dyDescent="0.25">
      <c r="A1021" s="6"/>
      <c r="B1021" s="7"/>
      <c r="C1021" s="15"/>
      <c r="D1021" s="9"/>
      <c r="E1021" s="9"/>
      <c r="F1021" s="8"/>
    </row>
    <row r="1022" spans="1:6" x14ac:dyDescent="0.25">
      <c r="A1022" s="6"/>
      <c r="B1022" s="7"/>
      <c r="C1022" s="15"/>
      <c r="D1022" s="9"/>
      <c r="E1022" s="9"/>
      <c r="F1022" s="8"/>
    </row>
    <row r="1023" spans="1:6" x14ac:dyDescent="0.25">
      <c r="A1023" s="6"/>
      <c r="B1023" s="7"/>
      <c r="C1023" s="15"/>
      <c r="D1023" s="9"/>
      <c r="E1023" s="9"/>
      <c r="F1023" s="8"/>
    </row>
    <row r="1024" spans="1:6" x14ac:dyDescent="0.25">
      <c r="A1024" s="6"/>
      <c r="B1024" s="7"/>
      <c r="C1024" s="15"/>
      <c r="D1024" s="9"/>
      <c r="E1024" s="9"/>
      <c r="F1024" s="8"/>
    </row>
    <row r="1025" spans="1:6" x14ac:dyDescent="0.25">
      <c r="A1025" s="6"/>
      <c r="B1025" s="7"/>
      <c r="C1025" s="15"/>
      <c r="D1025" s="9"/>
      <c r="E1025" s="9"/>
      <c r="F1025" s="8"/>
    </row>
    <row r="1026" spans="1:6" x14ac:dyDescent="0.25">
      <c r="A1026" s="6"/>
      <c r="B1026" s="7"/>
      <c r="C1026" s="15"/>
      <c r="D1026" s="9"/>
      <c r="E1026" s="9"/>
      <c r="F1026" s="8"/>
    </row>
    <row r="1027" spans="1:6" x14ac:dyDescent="0.25">
      <c r="A1027" s="6"/>
      <c r="B1027" s="7"/>
      <c r="C1027" s="15"/>
      <c r="D1027" s="9"/>
      <c r="E1027" s="9"/>
      <c r="F1027" s="8"/>
    </row>
    <row r="1028" spans="1:6" x14ac:dyDescent="0.25">
      <c r="A1028" s="6"/>
      <c r="B1028" s="7"/>
      <c r="C1028" s="15"/>
      <c r="D1028" s="9"/>
      <c r="E1028" s="9"/>
      <c r="F1028" s="8"/>
    </row>
    <row r="1029" spans="1:6" x14ac:dyDescent="0.25">
      <c r="A1029" s="6"/>
      <c r="B1029" s="7"/>
      <c r="C1029" s="15"/>
      <c r="D1029" s="9"/>
      <c r="E1029" s="9"/>
      <c r="F1029" s="8"/>
    </row>
    <row r="1030" spans="1:6" x14ac:dyDescent="0.25">
      <c r="A1030" s="6"/>
      <c r="B1030" s="7"/>
      <c r="C1030" s="15"/>
      <c r="D1030" s="9"/>
      <c r="E1030" s="9"/>
      <c r="F1030" s="8"/>
    </row>
    <row r="1031" spans="1:6" x14ac:dyDescent="0.25">
      <c r="A1031" s="6"/>
      <c r="B1031" s="7"/>
      <c r="C1031" s="15"/>
      <c r="D1031" s="9"/>
      <c r="E1031" s="9"/>
      <c r="F1031" s="8"/>
    </row>
    <row r="1032" spans="1:6" x14ac:dyDescent="0.25">
      <c r="A1032" s="6"/>
      <c r="B1032" s="7"/>
      <c r="C1032" s="15"/>
      <c r="D1032" s="9"/>
      <c r="E1032" s="9"/>
      <c r="F1032" s="8"/>
    </row>
    <row r="1033" spans="1:6" x14ac:dyDescent="0.25">
      <c r="A1033" s="6"/>
      <c r="B1033" s="7"/>
      <c r="C1033" s="15"/>
      <c r="D1033" s="9"/>
      <c r="E1033" s="9"/>
      <c r="F1033" s="8"/>
    </row>
    <row r="1034" spans="1:6" x14ac:dyDescent="0.25">
      <c r="A1034" s="6"/>
      <c r="B1034" s="7"/>
      <c r="C1034" s="15"/>
      <c r="D1034" s="9"/>
      <c r="E1034" s="9"/>
      <c r="F1034" s="8"/>
    </row>
    <row r="1035" spans="1:6" x14ac:dyDescent="0.25">
      <c r="A1035" s="6"/>
      <c r="B1035" s="7"/>
      <c r="C1035" s="15"/>
      <c r="D1035" s="9"/>
      <c r="E1035" s="9"/>
      <c r="F1035" s="8"/>
    </row>
    <row r="1036" spans="1:6" x14ac:dyDescent="0.25">
      <c r="A1036" s="6"/>
      <c r="B1036" s="7"/>
      <c r="C1036" s="15"/>
      <c r="D1036" s="9"/>
      <c r="E1036" s="9"/>
      <c r="F1036" s="8"/>
    </row>
    <row r="1037" spans="1:6" x14ac:dyDescent="0.25">
      <c r="A1037" s="6"/>
      <c r="B1037" s="7"/>
      <c r="C1037" s="15"/>
      <c r="D1037" s="9"/>
      <c r="E1037" s="9"/>
      <c r="F1037" s="8"/>
    </row>
    <row r="1038" spans="1:6" x14ac:dyDescent="0.25">
      <c r="A1038" s="6"/>
      <c r="B1038" s="7"/>
      <c r="C1038" s="15"/>
      <c r="D1038" s="9"/>
      <c r="E1038" s="9"/>
      <c r="F1038" s="8"/>
    </row>
    <row r="1039" spans="1:6" x14ac:dyDescent="0.25">
      <c r="A1039" s="6"/>
      <c r="B1039" s="7"/>
      <c r="C1039" s="15"/>
      <c r="D1039" s="9"/>
      <c r="E1039" s="9"/>
      <c r="F1039" s="8"/>
    </row>
    <row r="1040" spans="1:6" ht="15.75" thickBot="1" x14ac:dyDescent="0.3">
      <c r="A1040" s="19" t="s">
        <v>138</v>
      </c>
      <c r="B1040" s="20" t="s">
        <v>138</v>
      </c>
      <c r="C1040" s="15" t="s">
        <v>138</v>
      </c>
      <c r="D1040" s="21" t="s">
        <v>138</v>
      </c>
      <c r="E1040" s="21" t="s">
        <v>138</v>
      </c>
      <c r="F1040" s="15" t="s">
        <v>497</v>
      </c>
    </row>
  </sheetData>
  <autoFilter ref="A2:G1040" xr:uid="{E7BCB9DB-A07C-40D0-8F6F-9EC443453922}"/>
  <mergeCells count="2">
    <mergeCell ref="D1:F1"/>
    <mergeCell ref="A1:C1"/>
  </mergeCells>
  <conditionalFormatting sqref="C2:C1048576">
    <cfRule type="duplicateValues" dxfId="0" priority="1"/>
  </conditionalFormatting>
  <dataValidations count="3">
    <dataValidation type="list" allowBlank="1" showInputMessage="1" showErrorMessage="1" sqref="E326:E1039" xr:uid="{C1C3A2F9-1DBB-485B-BB45-3E6053446C73}">
      <formula1>COLORLIST</formula1>
    </dataValidation>
    <dataValidation type="list" showInputMessage="1" showErrorMessage="1" sqref="E3:E325 D3:D1039" xr:uid="{4DE0F091-80B3-42A9-A7D9-E49ABFF92E11}">
      <formula1>COLORLIST</formula1>
    </dataValidation>
    <dataValidation type="list" showInputMessage="1" showErrorMessage="1" sqref="A3:A300 A302:A1039" xr:uid="{835F5FB8-E824-40B1-8F75-D455E9CA947C}">
      <formula1>STYLENAMES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54C5-026C-4F1C-A64B-7DE0A9EBEA11}">
  <dimension ref="A1:M4"/>
  <sheetViews>
    <sheetView workbookViewId="0">
      <selection activeCell="A4" sqref="A4"/>
    </sheetView>
  </sheetViews>
  <sheetFormatPr defaultColWidth="8.85546875" defaultRowHeight="15" x14ac:dyDescent="0.25"/>
  <cols>
    <col min="1" max="1" width="25.28515625" style="2" bestFit="1" customWidth="1"/>
    <col min="2" max="2" width="24.42578125" style="1" bestFit="1" customWidth="1"/>
    <col min="3" max="3" width="14.85546875" style="1" bestFit="1" customWidth="1"/>
    <col min="4" max="4" width="11.28515625" style="1" bestFit="1" customWidth="1"/>
    <col min="5" max="5" width="14.140625" style="1" bestFit="1" customWidth="1"/>
    <col min="6" max="6" width="25.28515625" style="1" bestFit="1" customWidth="1"/>
    <col min="7" max="7" width="24.42578125" style="1" bestFit="1" customWidth="1"/>
    <col min="8" max="8" width="8" style="1" bestFit="1" customWidth="1"/>
    <col min="9" max="9" width="8.28515625" style="1" bestFit="1" customWidth="1"/>
    <col min="10" max="10" width="7.140625" style="1" bestFit="1" customWidth="1"/>
    <col min="11" max="11" width="6.85546875" style="1" bestFit="1" customWidth="1"/>
    <col min="12" max="12" width="5.7109375" style="1" bestFit="1" customWidth="1"/>
    <col min="13" max="13" width="10.28515625" style="1" bestFit="1" customWidth="1"/>
    <col min="14" max="16384" width="8.85546875" style="1"/>
  </cols>
  <sheetData>
    <row r="1" spans="1:13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17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 x14ac:dyDescent="0.25">
      <c r="A2" s="1" t="s">
        <v>6</v>
      </c>
      <c r="B2" s="1" t="s">
        <v>0</v>
      </c>
      <c r="C2" s="1" t="s">
        <v>2</v>
      </c>
      <c r="D2" s="1">
        <v>20</v>
      </c>
      <c r="E2" s="1" t="s">
        <v>9</v>
      </c>
      <c r="F2" s="1" t="s">
        <v>30</v>
      </c>
      <c r="G2" s="1" t="s">
        <v>1</v>
      </c>
      <c r="H2" s="1" t="s">
        <v>7</v>
      </c>
      <c r="I2" s="1" t="s">
        <v>8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10</v>
      </c>
      <c r="B3" s="1" t="s">
        <v>3</v>
      </c>
      <c r="C3" s="1" t="s">
        <v>4</v>
      </c>
      <c r="D3" s="1">
        <v>19</v>
      </c>
      <c r="E3" s="1" t="s">
        <v>12</v>
      </c>
      <c r="F3" s="1" t="s">
        <v>31</v>
      </c>
      <c r="G3" s="1" t="s">
        <v>5</v>
      </c>
      <c r="H3" s="1" t="s">
        <v>11</v>
      </c>
      <c r="I3" s="1" t="s">
        <v>502</v>
      </c>
      <c r="J3" s="1" t="s">
        <v>498</v>
      </c>
      <c r="K3" s="1" t="s">
        <v>499</v>
      </c>
      <c r="L3" s="1" t="s">
        <v>500</v>
      </c>
      <c r="M3" s="1" t="s">
        <v>501</v>
      </c>
    </row>
    <row r="4" spans="1:13" x14ac:dyDescent="0.25">
      <c r="A4" s="1" t="s">
        <v>503</v>
      </c>
      <c r="B4" s="1" t="s">
        <v>504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KULLANIM NOTLARI</vt:lpstr>
      <vt:lpstr>STYLES &amp; MODELS MATRIX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Contact</cp:lastModifiedBy>
  <dcterms:created xsi:type="dcterms:W3CDTF">2026-01-24T21:03:33Z</dcterms:created>
  <dcterms:modified xsi:type="dcterms:W3CDTF">2026-03-29T12:40:22Z</dcterms:modified>
</cp:coreProperties>
</file>