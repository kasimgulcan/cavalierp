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emalK\Documents\CSM - Cavalier San Marco\CSM MASTER DATA FILES - DO NOT DELETE\"/>
    </mc:Choice>
  </mc:AlternateContent>
  <xr:revisionPtr revIDLastSave="0" documentId="13_ncr:1_{71C43CEC-833E-4937-8308-EABAC23619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SM  PRICE LIST 26.1.1" sheetId="6" r:id="rId1"/>
    <sheet name="CSM  PRICE LIST 26.1.0" sheetId="5" r:id="rId2"/>
    <sheet name="CSM  PRICE LIST 26.0.1" sheetId="4" r:id="rId3"/>
    <sheet name="CSM  PRICE LIST 25.6.3" sheetId="3" r:id="rId4"/>
    <sheet name="CSM  PRICE LIST 25.6.2" sheetId="2" r:id="rId5"/>
  </sheets>
  <definedNames>
    <definedName name="_xlnm._FilterDatabase" localSheetId="4" hidden="1">'CSM  PRICE LIST 25.6.2'!$A$2:$E$85</definedName>
    <definedName name="_xlnm._FilterDatabase" localSheetId="3" hidden="1">'CSM  PRICE LIST 25.6.3'!$A$2:$E$86</definedName>
    <definedName name="_xlnm._FilterDatabase" localSheetId="2" hidden="1">'CSM  PRICE LIST 26.0.1'!$A$2:$I$97</definedName>
    <definedName name="_xlnm._FilterDatabase" localSheetId="1" hidden="1">'CSM  PRICE LIST 26.1.0'!$A$2:$G$107</definedName>
    <definedName name="_xlnm._FilterDatabase" localSheetId="0" hidden="1">'CSM  PRICE LIST 26.1.1'!$A$2:$G$107</definedName>
    <definedName name="EURKUR" localSheetId="2">'CSM  PRICE LIST 26.0.1'!$E$1</definedName>
    <definedName name="EURKUR" localSheetId="1">'CSM  PRICE LIST 26.1.0'!$E$1</definedName>
    <definedName name="EURKUR" localSheetId="0">'CSM  PRICE LIST 26.1.1'!$E$1</definedName>
    <definedName name="EURKUR">'CSM  PRICE LIST 25.6.3'!$E$1</definedName>
    <definedName name="_xlnm.Print_Area" localSheetId="2">'CSM  PRICE LIST 26.0.1'!$A$1:$G$97</definedName>
    <definedName name="_xlnm.Print_Area" localSheetId="1">'CSM  PRICE LIST 26.1.0'!$A$1:$G$107</definedName>
    <definedName name="_xlnm.Print_Area" localSheetId="0">'CSM  PRICE LIST 26.1.1'!$A$1:$G$107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6" l="1"/>
  <c r="E107" i="6"/>
  <c r="F106" i="6"/>
  <c r="E106" i="6"/>
  <c r="F105" i="6"/>
  <c r="E105" i="6"/>
  <c r="F104" i="6"/>
  <c r="E104" i="6"/>
  <c r="F103" i="6"/>
  <c r="E103" i="6"/>
  <c r="F102" i="6"/>
  <c r="E102" i="6"/>
  <c r="F101" i="6"/>
  <c r="E101" i="6"/>
  <c r="F100" i="6"/>
  <c r="E100" i="6"/>
  <c r="F99" i="6"/>
  <c r="E99" i="6"/>
  <c r="F98" i="6"/>
  <c r="E98" i="6"/>
  <c r="F97" i="6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I97" i="4"/>
  <c r="F97" i="4"/>
  <c r="E97" i="4"/>
  <c r="I96" i="4"/>
  <c r="F96" i="4"/>
  <c r="E96" i="4"/>
  <c r="I95" i="4"/>
  <c r="F95" i="4"/>
  <c r="E95" i="4"/>
  <c r="I94" i="4"/>
  <c r="F94" i="4"/>
  <c r="E94" i="4"/>
  <c r="I93" i="4"/>
  <c r="F93" i="4"/>
  <c r="E93" i="4"/>
  <c r="I92" i="4"/>
  <c r="F92" i="4"/>
  <c r="E92" i="4"/>
  <c r="I91" i="4"/>
  <c r="F91" i="4"/>
  <c r="E91" i="4"/>
  <c r="I90" i="4"/>
  <c r="F90" i="4"/>
  <c r="E90" i="4"/>
  <c r="I89" i="4"/>
  <c r="F89" i="4"/>
  <c r="E89" i="4"/>
  <c r="I88" i="4"/>
  <c r="F88" i="4"/>
  <c r="E88" i="4"/>
  <c r="I87" i="4"/>
  <c r="F87" i="4"/>
  <c r="E87" i="4"/>
  <c r="I86" i="4"/>
  <c r="F86" i="4"/>
  <c r="E86" i="4"/>
  <c r="I85" i="4"/>
  <c r="F85" i="4"/>
  <c r="E85" i="4"/>
  <c r="I84" i="4"/>
  <c r="F84" i="4"/>
  <c r="E84" i="4"/>
  <c r="I83" i="4"/>
  <c r="F83" i="4"/>
  <c r="E83" i="4"/>
  <c r="I82" i="4"/>
  <c r="F82" i="4"/>
  <c r="E82" i="4"/>
  <c r="I81" i="4"/>
  <c r="F81" i="4"/>
  <c r="E81" i="4"/>
  <c r="I80" i="4"/>
  <c r="F80" i="4"/>
  <c r="E80" i="4"/>
  <c r="I79" i="4"/>
  <c r="F79" i="4"/>
  <c r="E79" i="4"/>
  <c r="I78" i="4"/>
  <c r="F78" i="4"/>
  <c r="E78" i="4"/>
  <c r="I77" i="4"/>
  <c r="F77" i="4"/>
  <c r="E77" i="4"/>
  <c r="I76" i="4"/>
  <c r="F76" i="4"/>
  <c r="E76" i="4"/>
  <c r="I75" i="4"/>
  <c r="F75" i="4"/>
  <c r="E75" i="4"/>
  <c r="I74" i="4"/>
  <c r="F74" i="4"/>
  <c r="E74" i="4"/>
  <c r="I73" i="4"/>
  <c r="F73" i="4"/>
  <c r="E73" i="4"/>
  <c r="I72" i="4"/>
  <c r="F72" i="4"/>
  <c r="E72" i="4"/>
  <c r="I71" i="4"/>
  <c r="F71" i="4"/>
  <c r="E71" i="4"/>
  <c r="I70" i="4"/>
  <c r="F70" i="4"/>
  <c r="E70" i="4"/>
  <c r="I69" i="4"/>
  <c r="F69" i="4"/>
  <c r="E69" i="4"/>
  <c r="I68" i="4"/>
  <c r="F68" i="4"/>
  <c r="E68" i="4"/>
  <c r="I67" i="4"/>
  <c r="F67" i="4"/>
  <c r="E67" i="4"/>
  <c r="I66" i="4"/>
  <c r="F66" i="4"/>
  <c r="E66" i="4"/>
  <c r="I65" i="4"/>
  <c r="F65" i="4"/>
  <c r="E65" i="4"/>
  <c r="I64" i="4"/>
  <c r="F64" i="4"/>
  <c r="E64" i="4"/>
  <c r="I63" i="4"/>
  <c r="F63" i="4"/>
  <c r="E63" i="4"/>
  <c r="I62" i="4"/>
  <c r="F62" i="4"/>
  <c r="E62" i="4"/>
  <c r="I61" i="4"/>
  <c r="F61" i="4"/>
  <c r="E61" i="4"/>
  <c r="I60" i="4"/>
  <c r="F60" i="4"/>
  <c r="E60" i="4"/>
  <c r="I59" i="4"/>
  <c r="F59" i="4"/>
  <c r="E59" i="4"/>
  <c r="I58" i="4"/>
  <c r="F58" i="4"/>
  <c r="E58" i="4"/>
  <c r="I57" i="4"/>
  <c r="F57" i="4"/>
  <c r="E57" i="4"/>
  <c r="I56" i="4"/>
  <c r="F56" i="4"/>
  <c r="E56" i="4"/>
  <c r="I55" i="4"/>
  <c r="F55" i="4"/>
  <c r="E55" i="4"/>
  <c r="I54" i="4"/>
  <c r="F54" i="4"/>
  <c r="E54" i="4"/>
  <c r="I53" i="4"/>
  <c r="F53" i="4"/>
  <c r="E53" i="4"/>
  <c r="I52" i="4"/>
  <c r="F52" i="4"/>
  <c r="E52" i="4"/>
  <c r="I51" i="4"/>
  <c r="F51" i="4"/>
  <c r="E51" i="4"/>
  <c r="I50" i="4"/>
  <c r="F50" i="4"/>
  <c r="E50" i="4"/>
  <c r="I49" i="4"/>
  <c r="F49" i="4"/>
  <c r="E49" i="4"/>
  <c r="I48" i="4"/>
  <c r="F48" i="4"/>
  <c r="E48" i="4"/>
  <c r="I47" i="4"/>
  <c r="F47" i="4"/>
  <c r="E47" i="4"/>
  <c r="I46" i="4"/>
  <c r="F46" i="4"/>
  <c r="E46" i="4"/>
  <c r="I45" i="4"/>
  <c r="F45" i="4"/>
  <c r="E45" i="4"/>
  <c r="I44" i="4"/>
  <c r="F44" i="4"/>
  <c r="E44" i="4"/>
  <c r="I43" i="4"/>
  <c r="F43" i="4"/>
  <c r="E43" i="4"/>
  <c r="I42" i="4"/>
  <c r="F42" i="4"/>
  <c r="E42" i="4"/>
  <c r="I41" i="4"/>
  <c r="F41" i="4"/>
  <c r="E41" i="4"/>
  <c r="I40" i="4"/>
  <c r="F40" i="4"/>
  <c r="E40" i="4"/>
  <c r="I39" i="4"/>
  <c r="F39" i="4"/>
  <c r="E39" i="4"/>
  <c r="I38" i="4"/>
  <c r="F38" i="4"/>
  <c r="E38" i="4"/>
  <c r="I37" i="4"/>
  <c r="F37" i="4"/>
  <c r="E37" i="4"/>
  <c r="I36" i="4"/>
  <c r="F36" i="4"/>
  <c r="E36" i="4"/>
  <c r="I35" i="4"/>
  <c r="F35" i="4"/>
  <c r="E35" i="4"/>
  <c r="I34" i="4"/>
  <c r="F34" i="4"/>
  <c r="E34" i="4"/>
  <c r="I33" i="4"/>
  <c r="F33" i="4"/>
  <c r="E33" i="4"/>
  <c r="I32" i="4"/>
  <c r="F32" i="4"/>
  <c r="E32" i="4"/>
  <c r="I31" i="4"/>
  <c r="F31" i="4"/>
  <c r="E31" i="4"/>
  <c r="I30" i="4"/>
  <c r="F30" i="4"/>
  <c r="E30" i="4"/>
  <c r="I29" i="4"/>
  <c r="F29" i="4"/>
  <c r="E29" i="4"/>
  <c r="I28" i="4"/>
  <c r="F28" i="4"/>
  <c r="E28" i="4"/>
  <c r="I27" i="4"/>
  <c r="F27" i="4"/>
  <c r="E27" i="4"/>
  <c r="I26" i="4"/>
  <c r="F26" i="4"/>
  <c r="E26" i="4"/>
  <c r="I25" i="4"/>
  <c r="F25" i="4"/>
  <c r="E25" i="4"/>
  <c r="I24" i="4"/>
  <c r="F24" i="4"/>
  <c r="E24" i="4"/>
  <c r="I23" i="4"/>
  <c r="F23" i="4"/>
  <c r="E23" i="4"/>
  <c r="I22" i="4"/>
  <c r="F22" i="4"/>
  <c r="E22" i="4"/>
  <c r="I21" i="4"/>
  <c r="F21" i="4"/>
  <c r="E21" i="4"/>
  <c r="I20" i="4"/>
  <c r="F20" i="4"/>
  <c r="E20" i="4"/>
  <c r="I19" i="4"/>
  <c r="F19" i="4"/>
  <c r="E19" i="4"/>
  <c r="I18" i="4"/>
  <c r="F18" i="4"/>
  <c r="E18" i="4"/>
  <c r="I17" i="4"/>
  <c r="F17" i="4"/>
  <c r="E17" i="4"/>
  <c r="I16" i="4"/>
  <c r="F16" i="4"/>
  <c r="E16" i="4"/>
  <c r="I15" i="4"/>
  <c r="F15" i="4"/>
  <c r="E15" i="4"/>
  <c r="I14" i="4"/>
  <c r="F14" i="4"/>
  <c r="E14" i="4"/>
  <c r="I13" i="4"/>
  <c r="F13" i="4"/>
  <c r="E13" i="4"/>
  <c r="I12" i="4"/>
  <c r="F12" i="4"/>
  <c r="E12" i="4"/>
  <c r="I11" i="4"/>
  <c r="F11" i="4"/>
  <c r="E11" i="4"/>
  <c r="I10" i="4"/>
  <c r="F10" i="4"/>
  <c r="E10" i="4"/>
  <c r="I9" i="4"/>
  <c r="F9" i="4"/>
  <c r="E9" i="4"/>
  <c r="I8" i="4"/>
  <c r="F8" i="4"/>
  <c r="E8" i="4"/>
  <c r="I7" i="4"/>
  <c r="F7" i="4"/>
  <c r="E7" i="4"/>
  <c r="I6" i="4"/>
  <c r="F6" i="4"/>
  <c r="E6" i="4"/>
  <c r="I5" i="4"/>
  <c r="F5" i="4"/>
  <c r="E5" i="4"/>
  <c r="I4" i="4"/>
  <c r="F4" i="4"/>
  <c r="E4" i="4"/>
  <c r="I3" i="4"/>
  <c r="F3" i="4"/>
  <c r="E3" i="4"/>
  <c r="F101" i="3" l="1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</calcChain>
</file>

<file path=xl/sharedStrings.xml><?xml version="1.0" encoding="utf-8"?>
<sst xmlns="http://schemas.openxmlformats.org/spreadsheetml/2006/main" count="1871" uniqueCount="333">
  <si>
    <t>STYLE NAMES</t>
  </si>
  <si>
    <t>ALASKA</t>
  </si>
  <si>
    <t>ALEA</t>
  </si>
  <si>
    <t>ALEX</t>
  </si>
  <si>
    <t>ALLEGRA</t>
  </si>
  <si>
    <t>AREZZO</t>
  </si>
  <si>
    <t>ASPEN</t>
  </si>
  <si>
    <t>ASPEN-JR</t>
  </si>
  <si>
    <t>ATLANTA</t>
  </si>
  <si>
    <t>ATLANTIS</t>
  </si>
  <si>
    <t>BELLA</t>
  </si>
  <si>
    <t>CAMBRIDGE</t>
  </si>
  <si>
    <t>CANADA</t>
  </si>
  <si>
    <t>CANNES</t>
  </si>
  <si>
    <t>CAPE TOWN</t>
  </si>
  <si>
    <t>CAPRI-3XB</t>
  </si>
  <si>
    <t>CHICAGO</t>
  </si>
  <si>
    <t>COPENHAGEN</t>
  </si>
  <si>
    <t>DUBLIN</t>
  </si>
  <si>
    <t>ENZA</t>
  </si>
  <si>
    <t>ENZA-JR</t>
  </si>
  <si>
    <t>ENZO</t>
  </si>
  <si>
    <t>ENZO-JR</t>
  </si>
  <si>
    <t>FERNANDO</t>
  </si>
  <si>
    <t>FLEECE-X</t>
  </si>
  <si>
    <t>GORLA MINORE</t>
  </si>
  <si>
    <t>HELSINKI</t>
  </si>
  <si>
    <t>LAZIO</t>
  </si>
  <si>
    <t>LAZIO-3XB</t>
  </si>
  <si>
    <t>LEONARDO</t>
  </si>
  <si>
    <t>LONDON</t>
  </si>
  <si>
    <t>LONDON-P</t>
  </si>
  <si>
    <t>LUCCA</t>
  </si>
  <si>
    <t>LUCCA-3XB</t>
  </si>
  <si>
    <t>LUGANO</t>
  </si>
  <si>
    <t>LUNA</t>
  </si>
  <si>
    <t>MALTA</t>
  </si>
  <si>
    <t>MALTA-JR</t>
  </si>
  <si>
    <t>MANCHESTER</t>
  </si>
  <si>
    <t>MARCELA</t>
  </si>
  <si>
    <t>MENDERISO</t>
  </si>
  <si>
    <t>MIAMI</t>
  </si>
  <si>
    <t>MIAMI-JR</t>
  </si>
  <si>
    <t>MONTANA</t>
  </si>
  <si>
    <t>MONTE NEGRO</t>
  </si>
  <si>
    <t>NANDO</t>
  </si>
  <si>
    <t>OSLO</t>
  </si>
  <si>
    <t>OTTAWA</t>
  </si>
  <si>
    <t>PADOVA-JR</t>
  </si>
  <si>
    <t>PANDORA</t>
  </si>
  <si>
    <t>PANDORA-P</t>
  </si>
  <si>
    <t>PAOLA</t>
  </si>
  <si>
    <t>PAOLA-JR</t>
  </si>
  <si>
    <t>PAOLO</t>
  </si>
  <si>
    <t>PAOLO-JR</t>
  </si>
  <si>
    <t>PARIS-P</t>
  </si>
  <si>
    <t>PINE VALLEY</t>
  </si>
  <si>
    <t>PRAGUE</t>
  </si>
  <si>
    <t>PRAGUE-JR</t>
  </si>
  <si>
    <t>QUEBEC</t>
  </si>
  <si>
    <t>RAIN-X</t>
  </si>
  <si>
    <t>ROMA</t>
  </si>
  <si>
    <t>ROMA-3XB</t>
  </si>
  <si>
    <t>SALERNO</t>
  </si>
  <si>
    <t>SALVADOR</t>
  </si>
  <si>
    <t>SAN DIEGO</t>
  </si>
  <si>
    <t>SAN DIEGO-JR</t>
  </si>
  <si>
    <t>SANTORINI</t>
  </si>
  <si>
    <t>SAVONA-JR</t>
  </si>
  <si>
    <t>STAR</t>
  </si>
  <si>
    <t>TORINO</t>
  </si>
  <si>
    <t>TORINO-2XB</t>
  </si>
  <si>
    <t>TORONTO</t>
  </si>
  <si>
    <t>VENEZIA</t>
  </si>
  <si>
    <t>VERONA</t>
  </si>
  <si>
    <t>VOLARE</t>
  </si>
  <si>
    <t>WINDSOR</t>
  </si>
  <si>
    <t>YORK</t>
  </si>
  <si>
    <t>ZANNONE</t>
  </si>
  <si>
    <t>€ PRICE</t>
  </si>
  <si>
    <t>TL PRICE</t>
  </si>
  <si>
    <t>OXFORD</t>
  </si>
  <si>
    <t>PRICE LIST VER.:</t>
  </si>
  <si>
    <t>CATEGORY</t>
  </si>
  <si>
    <t>ÜRÜN ADI</t>
  </si>
  <si>
    <t>CAPPA-P</t>
  </si>
  <si>
    <t>Geçerlilik Tarihi:    01.Tem.25 - 31.Ara.25</t>
  </si>
  <si>
    <t>ACCESSORIES</t>
  </si>
  <si>
    <t>RIDER</t>
  </si>
  <si>
    <t>HORSE</t>
  </si>
  <si>
    <t>v.25.6.2</t>
  </si>
  <si>
    <t>€ kur- €/$ parite</t>
  </si>
  <si>
    <t>USD PRICE</t>
  </si>
  <si>
    <t>KEY RING</t>
  </si>
  <si>
    <t>NAME TAG</t>
  </si>
  <si>
    <t>KID'S RIDING SOCKS</t>
  </si>
  <si>
    <t>GEO ALL-SEASON RIDING SOCKS</t>
  </si>
  <si>
    <t>4 SEASON RIDING SOCKS</t>
  </si>
  <si>
    <t>WINTER RIDING SOCKS</t>
  </si>
  <si>
    <t>SUMMER RIDING SOCKS 
3 PACK BUNDLE</t>
  </si>
  <si>
    <t>KID'S RIDING SOCKS 
3 PACK BUNDLE</t>
  </si>
  <si>
    <t>COMPETITION TIE</t>
  </si>
  <si>
    <t>BASEBALL CAP</t>
  </si>
  <si>
    <t>GEO ALL-SEASON RIDING SOCKS 
3 PACK BUNDLE</t>
  </si>
  <si>
    <t>BEANIE</t>
  </si>
  <si>
    <t>KNIT EAR BONNET</t>
  </si>
  <si>
    <t>4 SEASON RIDING SOCKS 
3 PACK BUNDLE</t>
  </si>
  <si>
    <t>BOX GUARD</t>
  </si>
  <si>
    <t>SANTINI</t>
  </si>
  <si>
    <t>BRAIDED BELT</t>
  </si>
  <si>
    <t>WINTER RIDING SOCKS 
2 PACK BUNDLE</t>
  </si>
  <si>
    <t>CAPPA</t>
  </si>
  <si>
    <t>TECH EAR BONNET</t>
  </si>
  <si>
    <t>KNIT COMPETITION TIE</t>
  </si>
  <si>
    <t>BOY'S SOFT TRAINING POLO S/S</t>
  </si>
  <si>
    <t>WOMEN'S TECH T-SHIRT</t>
  </si>
  <si>
    <t>WOMEN'S SOFT TRAINING POLO</t>
  </si>
  <si>
    <t>GIRL'S COMPETITION POLO S/S</t>
  </si>
  <si>
    <t>BOY'S COMPETITION POLO S/S</t>
  </si>
  <si>
    <t>DIAMOND SADDLE PAD</t>
  </si>
  <si>
    <t xml:space="preserve"> DIAMOND SADDLE PAD</t>
  </si>
  <si>
    <t>GIRL'S TECH TRAINING POLO S/S</t>
  </si>
  <si>
    <t>MEN'S SOFT TRAINING POLO S/S</t>
  </si>
  <si>
    <t>PARIS</t>
  </si>
  <si>
    <t>HONEYCOMB SADDLE PAD</t>
  </si>
  <si>
    <t>HONEYCOMB SADDLEPAD</t>
  </si>
  <si>
    <t>BOY'S TECH TRAINING POLO S/S</t>
  </si>
  <si>
    <t>GIRL'S L/S BASE LAYER QUARTER ZIP</t>
  </si>
  <si>
    <t>WOMEN'S COMPETITION POLO S/S</t>
  </si>
  <si>
    <t>MEN'S COMPETITION POLO S/S</t>
  </si>
  <si>
    <t>FLEECE EXERCISE SHEET</t>
  </si>
  <si>
    <t>FLEECE-XP</t>
  </si>
  <si>
    <t>LONDON-H</t>
  </si>
  <si>
    <t>HERITAGE DIAMOND SADDLE PAD</t>
  </si>
  <si>
    <t>WOMEN'S TECH TRAINING POLO S/S</t>
  </si>
  <si>
    <t>SUEDE SADDLE PAD</t>
  </si>
  <si>
    <t>GIRL'S COMPETITION POLO L/S</t>
  </si>
  <si>
    <t>BOY'S COMPETITION POLO L/S</t>
  </si>
  <si>
    <t>KID'S PUFFER VEST</t>
  </si>
  <si>
    <t>MEN'S TECH TRAINING POLO S/S</t>
  </si>
  <si>
    <t>FLEECE BLANKET</t>
  </si>
  <si>
    <t>TORONTO-P</t>
  </si>
  <si>
    <t>FLY SHEET</t>
  </si>
  <si>
    <t>VOLARE-P</t>
  </si>
  <si>
    <t>KID'S FLEECE JUMPER</t>
  </si>
  <si>
    <t>WOMEN'S L/S BASE LAYER QUARTER ZIP</t>
  </si>
  <si>
    <t>MEN'S PUFFER VEST</t>
  </si>
  <si>
    <t>WOMEN'S PUFFER VEST</t>
  </si>
  <si>
    <t xml:space="preserve">MEN'S FLEECE JUMPER </t>
  </si>
  <si>
    <t xml:space="preserve">MEN'S L/S BASE LAYER </t>
  </si>
  <si>
    <t>MEN'S L/S BASE LAYER QUARTER ZIP</t>
  </si>
  <si>
    <t>MEN'S COMPETITION SHIRT L/S B.D. COLLAR</t>
  </si>
  <si>
    <t>WOMEN'S COMPETITION SHIRT BIB PANEL</t>
  </si>
  <si>
    <t>MEN'S COMPETITION SHIRT L/S SPREAD COLLAR</t>
  </si>
  <si>
    <t>MEN'S SWEAT JUMPER</t>
  </si>
  <si>
    <t>WOMEN'S COMPETITION POLO L/S</t>
  </si>
  <si>
    <t>MEN'S COMPETITION POLO L/S</t>
  </si>
  <si>
    <t>FLEECE BLANKET WITH COLLAR</t>
  </si>
  <si>
    <t>WINDSOR-P</t>
  </si>
  <si>
    <t>COOLER BLANKET</t>
  </si>
  <si>
    <t>DUBLIN-P</t>
  </si>
  <si>
    <t>TWO COLOR FLEECE BLANKET</t>
  </si>
  <si>
    <t>YORK-P</t>
  </si>
  <si>
    <t>GIRL'S FULL GRIP PRO LEGGINGS</t>
  </si>
  <si>
    <t>RAINPROOF EXERCISE SHEET</t>
  </si>
  <si>
    <t>RAIN-XP</t>
  </si>
  <si>
    <t>WOMEN'S FULL GRIP PRO LEGGINGS</t>
  </si>
  <si>
    <t>STABLE CURTAIN</t>
  </si>
  <si>
    <t>KID'S UNISEX KNEE GRIP PRO BREECHES</t>
  </si>
  <si>
    <t>WINTER STABLE RUG</t>
  </si>
  <si>
    <t>ALASKA-P</t>
  </si>
  <si>
    <t>WOMEN'S KNEE GRIP PRO BREECHES</t>
  </si>
  <si>
    <t>MEN'S KNEE GRIP PRO BREECHES</t>
  </si>
  <si>
    <t>MEN'S PRO COMPETITION JACKET</t>
  </si>
  <si>
    <t>WOMEN'S PRO COMPETITION JACKET</t>
  </si>
  <si>
    <t>v.25.6.3</t>
  </si>
  <si>
    <t>Valid Through:    01.07.25 - 31.12.25</t>
  </si>
  <si>
    <t>ANAHTARLIK</t>
  </si>
  <si>
    <t>İSİM KÜNYESİ</t>
  </si>
  <si>
    <t>ÇOCUK BİNİCİ ÇORABI</t>
  </si>
  <si>
    <t>GEO 4 MEVSİM BİNİCİ ÇORABI</t>
  </si>
  <si>
    <t>4 MEVSİM BİNİCİ ÇORABI</t>
  </si>
  <si>
    <t>KIŞLIK BİNİCİ ÇORABI</t>
  </si>
  <si>
    <t>YAZLIK BİNİCİ ÇORABI
3'LÜ PAKET</t>
  </si>
  <si>
    <t>ÇOCUK BİNİCİ ÇORABI
3'LÜ PAKET</t>
  </si>
  <si>
    <t>YARIŞMA KRAVATI</t>
  </si>
  <si>
    <t>KEP ŞAPKA</t>
  </si>
  <si>
    <t>GEO 4 MEVSİM BİNİCİ ÇORABI
3'LÜ PAKET</t>
  </si>
  <si>
    <t>BERE ŞAPKA</t>
  </si>
  <si>
    <t>ÖRME KULAKLIK</t>
  </si>
  <si>
    <t>4 MEVSİM BİNİCİ ÇORABI
3'LÜ PAKET</t>
  </si>
  <si>
    <t>BOX PERDESİ</t>
  </si>
  <si>
    <t>ÖRGÜ KEMER</t>
  </si>
  <si>
    <t>KIŞLIK BİNİCİ ÇORABI
3'LÜ PAKET</t>
  </si>
  <si>
    <t>TECH SERİSİ KULAKLIK</t>
  </si>
  <si>
    <t>ÖRME YARIŞMA KRAVATI</t>
  </si>
  <si>
    <t>ERKEK ÇOCUK KISA KOL SOFT ANTRENMAN POLO</t>
  </si>
  <si>
    <t>KADIN TECH T-SHIRT</t>
  </si>
  <si>
    <t>KADIN SOFT ANTRENMAN POLO</t>
  </si>
  <si>
    <t>KIZ ÇOCUK KISA KOL YARIŞMA POLO</t>
  </si>
  <si>
    <t>ERKEK ÇOCUK KISA KOL YARIŞMA POLO</t>
  </si>
  <si>
    <t>ELMAS DESEN EYER ALTI</t>
  </si>
  <si>
    <t>KIZ ÇOCUK KISA KOL TEKNİK ANTRENMAN POLO</t>
  </si>
  <si>
    <t xml:space="preserve">ERKEK KISA KOL SOFT ANTRENMAN POLO </t>
  </si>
  <si>
    <t>PETEK DESEN EYER ALTI</t>
  </si>
  <si>
    <t>ERKEK ÇOCUK KISA KOL TEKNİK ANTRENMAN POLO</t>
  </si>
  <si>
    <t>KIZ ÇOCUK UZUN KOL FERMUARLI T-SHIRT</t>
  </si>
  <si>
    <t>KADIN KISA KOL YARIŞMA POLO</t>
  </si>
  <si>
    <t>ENZA-TBF</t>
  </si>
  <si>
    <t>KADIN KISA KOL YARIŞMA POLO X TEAM TÜRKİYE</t>
  </si>
  <si>
    <t>ERKEK KISA KOL YARIŞMA POLO</t>
  </si>
  <si>
    <t>ENZO-TBF</t>
  </si>
  <si>
    <t>ERKEK KISA KOL YARIŞMA POLO X TEAM TÜRKİYE</t>
  </si>
  <si>
    <t>POLAR ÇALIŞMA BLANKETİ</t>
  </si>
  <si>
    <t>HERITAGE DIAMOND DESEN EYER ALTI</t>
  </si>
  <si>
    <t>KADIN KISA KOL TEKNİK ANTRENMAN POLO</t>
  </si>
  <si>
    <t>SÜET EYER ALTI</t>
  </si>
  <si>
    <t>KIZ ÇOCUK UZUN KOL YARIŞMA POLO</t>
  </si>
  <si>
    <t>ERKEK ÇOCUK UZUN KOL YARIŞMA POLO</t>
  </si>
  <si>
    <t>ÇOCUK ŞİŞME YELEK</t>
  </si>
  <si>
    <t>ERKEK KISA KOL TEKNİK ANTRENMAN POLO</t>
  </si>
  <si>
    <t>POLAR BLANKET</t>
  </si>
  <si>
    <t>SİNEKLİK BLANKET</t>
  </si>
  <si>
    <t>ÇOCUK POLAR HIRKA</t>
  </si>
  <si>
    <t>KADIN UZUN KOL FERMUARLI T-SHIRT</t>
  </si>
  <si>
    <t>ERKEK ŞİŞME YELEK</t>
  </si>
  <si>
    <t>KADIN ŞİŞME YELEK</t>
  </si>
  <si>
    <t>ERKEK POLAR HIRKA</t>
  </si>
  <si>
    <t>ERKEK UZUN KOL T-SHIRT</t>
  </si>
  <si>
    <t>ERKEK UZUN KOL FERMUARLI T-SHIRT</t>
  </si>
  <si>
    <t>ERKEK UZUN KOL YARIŞMA GÖMLEĞİ - DÜĞMELİ YAKA</t>
  </si>
  <si>
    <t>KADIN ÖN PANELLİ YARIŞMA GÖMLEĞİ</t>
  </si>
  <si>
    <t>ERKEK UZUN KOL YARIŞMA GÖMLEĞİ - AÇIK YAKA</t>
  </si>
  <si>
    <t>ERKEK SWEAT HIRKA</t>
  </si>
  <si>
    <t>KADIN UZUN KOL YARIŞMA POLO</t>
  </si>
  <si>
    <t>ERKEK UZUN KOL YARIŞMA POLO</t>
  </si>
  <si>
    <t>YAKALI POLAR BLANKET</t>
  </si>
  <si>
    <t>TER BLANKETİ</t>
  </si>
  <si>
    <t>ÇİFT RENK POLAR BLANKET</t>
  </si>
  <si>
    <t>KIZ ÇOCUK FULL GRIP PRO BİNİCİ TAYTI</t>
  </si>
  <si>
    <t>YAĞMUR GEÇİRMEZ ÇALIŞMA BLANKETİ</t>
  </si>
  <si>
    <t>KADIN FULL GRIP PRO BİNİCİ TAYTI</t>
  </si>
  <si>
    <t>AHIR PERDESİ</t>
  </si>
  <si>
    <t>ÇOCUK UNISEX BİNİCİ PANTALONU</t>
  </si>
  <si>
    <t>MONTERREY</t>
  </si>
  <si>
    <t>MEVSİMLİK AHIR BLANKETİ</t>
  </si>
  <si>
    <t>MONTERREY-P</t>
  </si>
  <si>
    <t>KADIN PRO BİNİCİ PANTALONU</t>
  </si>
  <si>
    <t>ERKEK PRO BİNİCİ PANTALONU</t>
  </si>
  <si>
    <t>ERKEK PRO YARIŞMA CEKETİ</t>
  </si>
  <si>
    <t>AREZZO-TBF</t>
  </si>
  <si>
    <t>ERKEK PRO YARIŞMA CEKETİ X TEAM TÜRKİYE</t>
  </si>
  <si>
    <t>KIŞLIK AHIR BLANKETİ</t>
  </si>
  <si>
    <t>KADIN PRO YARIŞMA CEKETİ</t>
  </si>
  <si>
    <t>GORLA MINORE-TBF</t>
  </si>
  <si>
    <t>KADIN PRO YARIŞMA CEKETİ X TEAM TÜRKİYE</t>
  </si>
  <si>
    <t>PISA</t>
  </si>
  <si>
    <t>v.26.0.1</t>
  </si>
  <si>
    <t>Valid Through:    01.01.26 - 31.06.26</t>
  </si>
  <si>
    <t>PRODUCT NAME</t>
  </si>
  <si>
    <t>PUBLISH</t>
  </si>
  <si>
    <t>CSM OLD PRICE</t>
  </si>
  <si>
    <t>YAZLIK BİNİCİ ÇORABI 3'LÜ PAKET</t>
  </si>
  <si>
    <t>ÇOCUK BİNİCİ ÇORABI 3'LÜ PAKET</t>
  </si>
  <si>
    <t>GEO 4 MEVSİM BİNİCİ ÇORABI 3'LÜ PAKET</t>
  </si>
  <si>
    <t>KIŞLIK BİNİCİ ÇORABI 2'Lİ PAKET</t>
  </si>
  <si>
    <t>4 MEVSİM BİNİCİ ÇORABI 3'LÜ PAKET</t>
  </si>
  <si>
    <t>BOY'S SOFT TRAINING POLO SHORT SLEEVE</t>
  </si>
  <si>
    <t>GIRL'S COMPETITION POLO SHORT SLEEVE</t>
  </si>
  <si>
    <t>BOY'S COMPETITION POLO SHORT SLEEVE</t>
  </si>
  <si>
    <t>GIRL'S TECH TRAINING POLO SHORT SLEEVE</t>
  </si>
  <si>
    <t>BOY'S TECH TRAINING POLO SHORT SLEEVE</t>
  </si>
  <si>
    <t>GIRL'S LONG SLEEVE BASE LAYER QUARTER ZIP</t>
  </si>
  <si>
    <t>GIRL'S COMPETITION POLO LONG SLEEVE</t>
  </si>
  <si>
    <t>BOY'S COMPETITION POLO LONG SLEEVE</t>
  </si>
  <si>
    <t>MEN'S SOFT TRAINING POLO SHORT SLEEVE</t>
  </si>
  <si>
    <t>WOMEN'S COMPETITION POLO SHORT SLEEVE</t>
  </si>
  <si>
    <t>MEN'S COMPETITION POLO SHORT SLEEVE</t>
  </si>
  <si>
    <t>WOMEN'S TECH TRAINING POLO SHORT SLEEVE</t>
  </si>
  <si>
    <t>MEN'S TECH TRAINING POLO SHORT SLEEVE</t>
  </si>
  <si>
    <t>WOMEN'S COMPETITION POLO SHORT SLEEVE X TEAM TÜRKİYE</t>
  </si>
  <si>
    <t>MEN'S COMPETITION POLO SHORT SLEEVE X TEAM TÜRKİYE</t>
  </si>
  <si>
    <t>WOMEN'S LONG SLEEVE BASE LAYER QUARTER ZIP</t>
  </si>
  <si>
    <t xml:space="preserve">MEN'S LONG SLEEVE BASE LAYER </t>
  </si>
  <si>
    <t>MEN'S LONG SLEEVE BASE LAYER QUARTER ZIP</t>
  </si>
  <si>
    <t>WOMEN'S COMPETITION POLO LONG SLEEVE</t>
  </si>
  <si>
    <t>MEN'S COMPETITION POLO LONG SLEEVE</t>
  </si>
  <si>
    <t>MEN'S COMPETITION SHIRT LONG SLEEVE B.D. COLLAR</t>
  </si>
  <si>
    <t>MEN'S COMPETITION SHIRT LONG SLEEVE SPREAD COLLAR</t>
  </si>
  <si>
    <t>SEASONAL STABLE RUG</t>
  </si>
  <si>
    <t>MEN'S PRO COMPETITION JACKET X TEAM TÜRKİYE</t>
  </si>
  <si>
    <t>WOMEN'S PRO COMPETITION JACKET X TEAM TÜRKİYE</t>
  </si>
  <si>
    <t>TECH EYERALTLARI</t>
  </si>
  <si>
    <t>isim ver</t>
  </si>
  <si>
    <t>NATURAL EYER ALTLARI</t>
  </si>
  <si>
    <t>TBF ÜRÜNLER DAHA PAHALI</t>
  </si>
  <si>
    <t>TECH EYERALTI + KULAKLIK COMBO</t>
  </si>
  <si>
    <t>ÜRÜN AÇIKLAMALARINA SECOND SKIN, BASE LAYER, STRASS VS EKLE</t>
  </si>
  <si>
    <t>TORINO AÇIKLAMA CHECK</t>
  </si>
  <si>
    <t>eski dokuma kravatları tbf ye ver, çin de yeni kravat yaptır</t>
  </si>
  <si>
    <t>ottawa isim değiştşir</t>
  </si>
  <si>
    <t>monterrey ve menderiso isim değiştir</t>
  </si>
  <si>
    <t>tech series genel isim ver</t>
  </si>
  <si>
    <t>v.26.1.0</t>
  </si>
  <si>
    <t>BANDANA</t>
  </si>
  <si>
    <t>SAÇ BANDI</t>
  </si>
  <si>
    <t>HAIR BAND</t>
  </si>
  <si>
    <t>FONDI-3XB</t>
  </si>
  <si>
    <t>SANTIAGO</t>
  </si>
  <si>
    <t>PAOLA-TBF</t>
  </si>
  <si>
    <t>KADIN UZUN KOL YARIŞMA POLO X TEAM TÜRKİYE</t>
  </si>
  <si>
    <t>WOMEN'S COMPETITION POLO LONG SLEEVE X TEAM TÜRKİYE</t>
  </si>
  <si>
    <t>PAOLO-TBF</t>
  </si>
  <si>
    <t>ERKEK UZUN KOL YARIŞMA POLO X TEAM TÜRKİYE</t>
  </si>
  <si>
    <t>MEN'S COMPETITION POLO LONG SLEEVE X TEAM TÜRKİYE</t>
  </si>
  <si>
    <t>MARBELLA</t>
  </si>
  <si>
    <t>KADIN UZUN KOL CASUAL GÖMLEK</t>
  </si>
  <si>
    <t>WOMEN'S LONG SLEEVE CASUAL SHIRT</t>
  </si>
  <si>
    <t>MILANO</t>
  </si>
  <si>
    <t>NAPOLI</t>
  </si>
  <si>
    <t>ATLANTIS-W</t>
  </si>
  <si>
    <t>KIŞLIK ÇOCUK UNISEX BİNİCİ PANTALONU</t>
  </si>
  <si>
    <t>KID'S UNISEX KNEE GRIP PRO WINTER BREECHES</t>
  </si>
  <si>
    <t>ALEA-W</t>
  </si>
  <si>
    <t>KIŞLIK KADIN PRO BİNİCİ PANTALONU</t>
  </si>
  <si>
    <t>WOMEN'S KNEE GRIP PRO WINTER BREECHES</t>
  </si>
  <si>
    <t>LEONARDO-W</t>
  </si>
  <si>
    <t>KIŞLIK ERKEK PRO BİNİCİ PANTALONU</t>
  </si>
  <si>
    <t>MEN'S KNEE GRIP PRO WINTER BREECHES</t>
  </si>
  <si>
    <t>MENDERISO ismini MILANO ile değiştirdim</t>
  </si>
  <si>
    <t>v.26.1.1</t>
  </si>
  <si>
    <t>EUR ARTMAYIP FİYATLAR PAHALI KALDIĞINDAN DOLAYI KURU 55 TL OLARAK REVİZE ETTİK.</t>
  </si>
  <si>
    <t>HAZİRAN DAN SONRA GİDİŞATA GÖRE 60 OLARAK REVİZE EDEBİLİRİZ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</si>
</sst>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€-2]\ #,##0.00"/>
    <numFmt numFmtId="165" formatCode="_-[$₺-41F]* #,##0.00_-;\-[$₺-41F]* #,##0.00_-;_-[$₺-41F]* &quot;-&quot;??_-;_-@_-"/>
    <numFmt numFmtId="166" formatCode="[$$-409]#,##0.00"/>
  </numFmts>
  <fonts count="13" x14ac:knownFonts="1">
    <font>
      <sz val="11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1"/>
      <color rgb="FFC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rgb="FFC0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65" fontId="5" fillId="0" borderId="3" xfId="1" applyNumberFormat="1" applyFont="1" applyBorder="1" applyAlignment="1">
      <alignment horizontal="center" vertical="center"/>
    </xf>
    <xf numFmtId="4" fontId="5" fillId="0" borderId="4" xfId="1" applyNumberFormat="1" applyFont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166" fontId="1" fillId="2" borderId="6" xfId="1" applyNumberFormat="1" applyFont="1" applyFill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43" fontId="6" fillId="0" borderId="0" xfId="2" applyFont="1" applyAlignment="1">
      <alignment horizontal="center" vertical="center"/>
    </xf>
    <xf numFmtId="165" fontId="7" fillId="0" borderId="8" xfId="1" applyNumberFormat="1" applyFont="1" applyBorder="1" applyAlignment="1">
      <alignment horizontal="center" vertical="center"/>
    </xf>
    <xf numFmtId="166" fontId="7" fillId="0" borderId="9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165" fontId="5" fillId="0" borderId="10" xfId="1" applyNumberFormat="1" applyFont="1" applyBorder="1" applyAlignment="1">
      <alignment horizontal="center" vertical="center"/>
    </xf>
    <xf numFmtId="4" fontId="5" fillId="0" borderId="10" xfId="1" applyNumberFormat="1" applyFont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/>
    </xf>
    <xf numFmtId="43" fontId="6" fillId="0" borderId="0" xfId="3" applyFont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64" fontId="4" fillId="0" borderId="11" xfId="1" applyNumberFormat="1" applyFont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165" fontId="9" fillId="0" borderId="13" xfId="1" applyNumberFormat="1" applyFont="1" applyBorder="1" applyAlignment="1">
      <alignment horizontal="center" vertical="center"/>
    </xf>
    <xf numFmtId="4" fontId="5" fillId="0" borderId="13" xfId="1" applyNumberFormat="1" applyFont="1" applyBorder="1" applyAlignment="1">
      <alignment horizontal="center" vertical="center"/>
    </xf>
    <xf numFmtId="165" fontId="9" fillId="0" borderId="14" xfId="1" applyNumberFormat="1" applyFont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165" fontId="1" fillId="2" borderId="10" xfId="1" applyNumberFormat="1" applyFont="1" applyFill="1" applyBorder="1" applyAlignment="1">
      <alignment horizontal="center" vertical="center"/>
    </xf>
    <xf numFmtId="166" fontId="1" fillId="2" borderId="10" xfId="1" applyNumberFormat="1" applyFont="1" applyFill="1" applyBorder="1" applyAlignment="1">
      <alignment horizontal="center" vertical="center"/>
    </xf>
    <xf numFmtId="0" fontId="1" fillId="2" borderId="16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164" fontId="6" fillId="0" borderId="0" xfId="1" applyNumberFormat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164" fontId="4" fillId="4" borderId="8" xfId="1" applyNumberFormat="1" applyFont="1" applyFill="1" applyBorder="1" applyAlignment="1">
      <alignment horizontal="center" vertical="center"/>
    </xf>
    <xf numFmtId="166" fontId="7" fillId="0" borderId="8" xfId="1" applyNumberFormat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6" fillId="0" borderId="0" xfId="1" applyAlignment="1">
      <alignment horizontal="left" vertical="center"/>
    </xf>
    <xf numFmtId="0" fontId="12" fillId="0" borderId="0" xfId="1" applyFont="1" applyAlignment="1">
      <alignment horizontal="center" vertical="center"/>
    </xf>
  </cellXfs>
  <cellStyles count="4">
    <cellStyle name="Comma" xfId="2" builtinId="3"/>
    <cellStyle name="Comma 2" xfId="3" xr:uid="{289884D0-8A1F-44DE-AD32-A0CA0FC14C90}"/>
    <cellStyle name="Normal" xfId="0" builtinId="0"/>
    <cellStyle name="Normal 3" xfId="1" xr:uid="{00000000-0005-0000-0000-000001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5D73-E977-4656-A53A-8D701110F5AA}">
  <dimension ref="A1:G239"/>
  <sheetViews>
    <sheetView tabSelected="1" zoomScaleNormal="100" workbookViewId="0">
      <pane ySplit="2" topLeftCell="A3" activePane="bottomLeft" state="frozen"/>
      <selection pane="bottomLeft" activeCell="A111" sqref="A111"/>
    </sheetView>
  </sheetViews>
  <sheetFormatPr defaultColWidth="9.109375" defaultRowHeight="14.4" x14ac:dyDescent="0.3"/>
  <cols>
    <col min="1" max="1" width="18.21875" style="2" bestFit="1" customWidth="1"/>
    <col min="2" max="2" width="14" style="2" customWidth="1"/>
    <col min="3" max="3" width="39.5546875" style="60" bestFit="1" customWidth="1"/>
    <col min="4" max="4" width="14.6640625" style="22" customWidth="1"/>
    <col min="5" max="5" width="13.21875" style="23" customWidth="1"/>
    <col min="6" max="6" width="9.33203125" style="24" customWidth="1"/>
    <col min="7" max="7" width="45.33203125" style="60" bestFit="1" customWidth="1"/>
    <col min="8" max="16384" width="9.109375" style="2"/>
  </cols>
  <sheetData>
    <row r="1" spans="1:7" s="1" customFormat="1" x14ac:dyDescent="0.3">
      <c r="A1" s="37" t="s">
        <v>82</v>
      </c>
      <c r="B1" s="38" t="s">
        <v>330</v>
      </c>
      <c r="C1" s="39" t="s">
        <v>258</v>
      </c>
      <c r="D1" s="38" t="s">
        <v>91</v>
      </c>
      <c r="E1" s="38">
        <v>55</v>
      </c>
      <c r="F1" s="40">
        <v>1.1499999999999999</v>
      </c>
      <c r="G1" s="41"/>
    </row>
    <row r="2" spans="1:7" s="47" customFormat="1" ht="13.8" x14ac:dyDescent="0.3">
      <c r="A2" s="42" t="s">
        <v>0</v>
      </c>
      <c r="B2" s="43" t="s">
        <v>83</v>
      </c>
      <c r="C2" s="43" t="s">
        <v>84</v>
      </c>
      <c r="D2" s="43" t="s">
        <v>79</v>
      </c>
      <c r="E2" s="44" t="s">
        <v>80</v>
      </c>
      <c r="F2" s="45" t="s">
        <v>92</v>
      </c>
      <c r="G2" s="46" t="s">
        <v>259</v>
      </c>
    </row>
    <row r="3" spans="1:7" x14ac:dyDescent="0.3">
      <c r="A3" s="48" t="s">
        <v>23</v>
      </c>
      <c r="B3" s="4" t="s">
        <v>87</v>
      </c>
      <c r="C3" s="49" t="s">
        <v>177</v>
      </c>
      <c r="D3" s="50">
        <v>12.9</v>
      </c>
      <c r="E3" s="17">
        <f t="shared" ref="E3:E34" si="0">ROUNDDOWN(+D3*EURKUR,-1)</f>
        <v>700</v>
      </c>
      <c r="F3" s="30">
        <f t="shared" ref="F3:F66" si="1">+D3*$F$1</f>
        <v>14.834999999999999</v>
      </c>
      <c r="G3" s="51" t="s">
        <v>93</v>
      </c>
    </row>
    <row r="4" spans="1:7" x14ac:dyDescent="0.3">
      <c r="A4" s="48" t="s">
        <v>45</v>
      </c>
      <c r="B4" s="4" t="s">
        <v>87</v>
      </c>
      <c r="C4" s="49" t="s">
        <v>178</v>
      </c>
      <c r="D4" s="50">
        <v>12.9</v>
      </c>
      <c r="E4" s="17">
        <f t="shared" si="0"/>
        <v>700</v>
      </c>
      <c r="F4" s="30">
        <f t="shared" si="1"/>
        <v>14.834999999999999</v>
      </c>
      <c r="G4" s="51" t="s">
        <v>94</v>
      </c>
    </row>
    <row r="5" spans="1:7" x14ac:dyDescent="0.3">
      <c r="A5" s="48" t="s">
        <v>304</v>
      </c>
      <c r="B5" s="4" t="s">
        <v>87</v>
      </c>
      <c r="C5" s="49" t="s">
        <v>305</v>
      </c>
      <c r="D5" s="50">
        <v>12.9</v>
      </c>
      <c r="E5" s="17">
        <f t="shared" si="0"/>
        <v>700</v>
      </c>
      <c r="F5" s="30">
        <f t="shared" si="1"/>
        <v>14.834999999999999</v>
      </c>
      <c r="G5" s="51" t="s">
        <v>306</v>
      </c>
    </row>
    <row r="6" spans="1:7" x14ac:dyDescent="0.3">
      <c r="A6" s="48" t="s">
        <v>14</v>
      </c>
      <c r="B6" s="4" t="s">
        <v>87</v>
      </c>
      <c r="C6" s="49" t="s">
        <v>186</v>
      </c>
      <c r="D6" s="50">
        <v>29.9</v>
      </c>
      <c r="E6" s="17">
        <f t="shared" si="0"/>
        <v>1640</v>
      </c>
      <c r="F6" s="30">
        <f t="shared" si="1"/>
        <v>34.384999999999998</v>
      </c>
      <c r="G6" s="51" t="s">
        <v>102</v>
      </c>
    </row>
    <row r="7" spans="1:7" x14ac:dyDescent="0.3">
      <c r="A7" s="48" t="s">
        <v>47</v>
      </c>
      <c r="B7" s="4" t="s">
        <v>87</v>
      </c>
      <c r="C7" s="49" t="s">
        <v>188</v>
      </c>
      <c r="D7" s="50">
        <v>29.9</v>
      </c>
      <c r="E7" s="17">
        <f t="shared" si="0"/>
        <v>1640</v>
      </c>
      <c r="F7" s="30">
        <f t="shared" si="1"/>
        <v>34.384999999999998</v>
      </c>
      <c r="G7" s="51" t="s">
        <v>104</v>
      </c>
    </row>
    <row r="8" spans="1:7" x14ac:dyDescent="0.3">
      <c r="A8" s="48" t="s">
        <v>15</v>
      </c>
      <c r="B8" s="4" t="s">
        <v>87</v>
      </c>
      <c r="C8" s="49" t="s">
        <v>262</v>
      </c>
      <c r="D8" s="50">
        <v>34.9</v>
      </c>
      <c r="E8" s="17">
        <f t="shared" si="0"/>
        <v>1910</v>
      </c>
      <c r="F8" s="30">
        <f t="shared" si="1"/>
        <v>40.134999999999998</v>
      </c>
      <c r="G8" s="51" t="s">
        <v>99</v>
      </c>
    </row>
    <row r="9" spans="1:7" x14ac:dyDescent="0.3">
      <c r="A9" s="48" t="s">
        <v>28</v>
      </c>
      <c r="B9" s="4" t="s">
        <v>87</v>
      </c>
      <c r="C9" s="49" t="s">
        <v>264</v>
      </c>
      <c r="D9" s="50">
        <v>34.9</v>
      </c>
      <c r="E9" s="17">
        <f t="shared" si="0"/>
        <v>1910</v>
      </c>
      <c r="F9" s="30">
        <f t="shared" si="1"/>
        <v>40.134999999999998</v>
      </c>
      <c r="G9" s="51" t="s">
        <v>103</v>
      </c>
    </row>
    <row r="10" spans="1:7" x14ac:dyDescent="0.3">
      <c r="A10" s="48" t="s">
        <v>33</v>
      </c>
      <c r="B10" s="4" t="s">
        <v>87</v>
      </c>
      <c r="C10" s="49" t="s">
        <v>263</v>
      </c>
      <c r="D10" s="50">
        <v>34.9</v>
      </c>
      <c r="E10" s="17">
        <f t="shared" si="0"/>
        <v>1910</v>
      </c>
      <c r="F10" s="30">
        <f t="shared" si="1"/>
        <v>40.134999999999998</v>
      </c>
      <c r="G10" s="51" t="s">
        <v>100</v>
      </c>
    </row>
    <row r="11" spans="1:7" x14ac:dyDescent="0.3">
      <c r="A11" s="48" t="s">
        <v>11</v>
      </c>
      <c r="B11" s="4" t="s">
        <v>87</v>
      </c>
      <c r="C11" s="49" t="s">
        <v>185</v>
      </c>
      <c r="D11" s="50">
        <v>39.9</v>
      </c>
      <c r="E11" s="17">
        <f t="shared" si="0"/>
        <v>2190</v>
      </c>
      <c r="F11" s="30">
        <f t="shared" si="1"/>
        <v>45.884999999999998</v>
      </c>
      <c r="G11" s="51" t="s">
        <v>101</v>
      </c>
    </row>
    <row r="12" spans="1:7" x14ac:dyDescent="0.3">
      <c r="A12" s="48" t="s">
        <v>307</v>
      </c>
      <c r="B12" s="4" t="s">
        <v>87</v>
      </c>
      <c r="C12" s="49" t="s">
        <v>266</v>
      </c>
      <c r="D12" s="50">
        <v>39.9</v>
      </c>
      <c r="E12" s="17">
        <f t="shared" si="0"/>
        <v>2190</v>
      </c>
      <c r="F12" s="30">
        <f t="shared" si="1"/>
        <v>45.884999999999998</v>
      </c>
      <c r="G12" s="51" t="s">
        <v>106</v>
      </c>
    </row>
    <row r="13" spans="1:7" x14ac:dyDescent="0.3">
      <c r="A13" s="48" t="s">
        <v>81</v>
      </c>
      <c r="B13" s="4" t="s">
        <v>87</v>
      </c>
      <c r="C13" s="49" t="s">
        <v>195</v>
      </c>
      <c r="D13" s="50">
        <v>39.9</v>
      </c>
      <c r="E13" s="17">
        <f t="shared" si="0"/>
        <v>2190</v>
      </c>
      <c r="F13" s="30">
        <f t="shared" si="1"/>
        <v>45.884999999999998</v>
      </c>
      <c r="G13" s="51" t="s">
        <v>113</v>
      </c>
    </row>
    <row r="14" spans="1:7" x14ac:dyDescent="0.3">
      <c r="A14" s="48" t="s">
        <v>62</v>
      </c>
      <c r="B14" s="4" t="s">
        <v>87</v>
      </c>
      <c r="C14" s="49" t="s">
        <v>266</v>
      </c>
      <c r="D14" s="50">
        <v>39.9</v>
      </c>
      <c r="E14" s="17">
        <f t="shared" si="0"/>
        <v>2190</v>
      </c>
      <c r="F14" s="30">
        <f t="shared" si="1"/>
        <v>45.884999999999998</v>
      </c>
      <c r="G14" s="51" t="s">
        <v>106</v>
      </c>
    </row>
    <row r="15" spans="1:7" x14ac:dyDescent="0.3">
      <c r="A15" s="48" t="s">
        <v>71</v>
      </c>
      <c r="B15" s="4" t="s">
        <v>87</v>
      </c>
      <c r="C15" s="53" t="s">
        <v>265</v>
      </c>
      <c r="D15" s="50">
        <v>39.9</v>
      </c>
      <c r="E15" s="17">
        <f t="shared" si="0"/>
        <v>2190</v>
      </c>
      <c r="F15" s="30">
        <f t="shared" si="1"/>
        <v>45.884999999999998</v>
      </c>
      <c r="G15" s="51" t="s">
        <v>110</v>
      </c>
    </row>
    <row r="16" spans="1:7" x14ac:dyDescent="0.3">
      <c r="A16" s="48" t="s">
        <v>49</v>
      </c>
      <c r="B16" s="4" t="s">
        <v>89</v>
      </c>
      <c r="C16" s="49" t="s">
        <v>189</v>
      </c>
      <c r="D16" s="50">
        <v>39.9</v>
      </c>
      <c r="E16" s="17">
        <f t="shared" si="0"/>
        <v>2190</v>
      </c>
      <c r="F16" s="30">
        <f t="shared" si="1"/>
        <v>45.884999999999998</v>
      </c>
      <c r="G16" s="51" t="s">
        <v>105</v>
      </c>
    </row>
    <row r="17" spans="1:7" x14ac:dyDescent="0.3">
      <c r="A17" s="48" t="s">
        <v>50</v>
      </c>
      <c r="B17" s="4" t="s">
        <v>89</v>
      </c>
      <c r="C17" s="49" t="s">
        <v>189</v>
      </c>
      <c r="D17" s="50">
        <v>39.9</v>
      </c>
      <c r="E17" s="17">
        <f t="shared" si="0"/>
        <v>2190</v>
      </c>
      <c r="F17" s="30">
        <f t="shared" si="1"/>
        <v>45.884999999999998</v>
      </c>
      <c r="G17" s="51" t="s">
        <v>105</v>
      </c>
    </row>
    <row r="18" spans="1:7" x14ac:dyDescent="0.3">
      <c r="A18" s="48" t="s">
        <v>64</v>
      </c>
      <c r="B18" s="4" t="s">
        <v>87</v>
      </c>
      <c r="C18" s="49" t="s">
        <v>191</v>
      </c>
      <c r="D18" s="50">
        <v>49.9</v>
      </c>
      <c r="E18" s="17">
        <f t="shared" si="0"/>
        <v>2740</v>
      </c>
      <c r="F18" s="30">
        <f t="shared" si="1"/>
        <v>57.384999999999991</v>
      </c>
      <c r="G18" s="51" t="s">
        <v>107</v>
      </c>
    </row>
    <row r="19" spans="1:7" x14ac:dyDescent="0.3">
      <c r="A19" s="48" t="s">
        <v>108</v>
      </c>
      <c r="B19" s="4" t="s">
        <v>87</v>
      </c>
      <c r="C19" s="49" t="s">
        <v>192</v>
      </c>
      <c r="D19" s="50">
        <v>49.9</v>
      </c>
      <c r="E19" s="17">
        <f t="shared" si="0"/>
        <v>2740</v>
      </c>
      <c r="F19" s="30">
        <f t="shared" si="1"/>
        <v>57.384999999999991</v>
      </c>
      <c r="G19" s="51" t="s">
        <v>109</v>
      </c>
    </row>
    <row r="20" spans="1:7" x14ac:dyDescent="0.3">
      <c r="A20" s="48" t="s">
        <v>67</v>
      </c>
      <c r="B20" s="4" t="s">
        <v>87</v>
      </c>
      <c r="C20" s="49" t="s">
        <v>192</v>
      </c>
      <c r="D20" s="50">
        <v>49.9</v>
      </c>
      <c r="E20" s="17">
        <f t="shared" si="0"/>
        <v>2740</v>
      </c>
      <c r="F20" s="30">
        <f t="shared" si="1"/>
        <v>57.384999999999991</v>
      </c>
      <c r="G20" s="51" t="s">
        <v>109</v>
      </c>
    </row>
    <row r="21" spans="1:7" x14ac:dyDescent="0.3">
      <c r="A21" s="48" t="s">
        <v>111</v>
      </c>
      <c r="B21" s="4" t="s">
        <v>89</v>
      </c>
      <c r="C21" s="49" t="s">
        <v>194</v>
      </c>
      <c r="D21" s="50">
        <v>49.9</v>
      </c>
      <c r="E21" s="17">
        <f t="shared" si="0"/>
        <v>2740</v>
      </c>
      <c r="F21" s="30">
        <f t="shared" si="1"/>
        <v>57.384999999999991</v>
      </c>
      <c r="G21" s="51" t="s">
        <v>112</v>
      </c>
    </row>
    <row r="22" spans="1:7" x14ac:dyDescent="0.3">
      <c r="A22" s="48" t="s">
        <v>85</v>
      </c>
      <c r="B22" s="4" t="s">
        <v>89</v>
      </c>
      <c r="C22" s="49" t="s">
        <v>194</v>
      </c>
      <c r="D22" s="50">
        <v>49.9</v>
      </c>
      <c r="E22" s="17">
        <f t="shared" si="0"/>
        <v>2740</v>
      </c>
      <c r="F22" s="30">
        <f t="shared" si="1"/>
        <v>57.384999999999991</v>
      </c>
      <c r="G22" s="51" t="s">
        <v>112</v>
      </c>
    </row>
    <row r="23" spans="1:7" x14ac:dyDescent="0.3">
      <c r="A23" s="48" t="s">
        <v>56</v>
      </c>
      <c r="B23" s="4" t="s">
        <v>88</v>
      </c>
      <c r="C23" s="49" t="s">
        <v>196</v>
      </c>
      <c r="D23" s="50">
        <v>49.9</v>
      </c>
      <c r="E23" s="17">
        <f t="shared" si="0"/>
        <v>2740</v>
      </c>
      <c r="F23" s="30">
        <f t="shared" si="1"/>
        <v>57.384999999999991</v>
      </c>
      <c r="G23" s="51" t="s">
        <v>267</v>
      </c>
    </row>
    <row r="24" spans="1:7" x14ac:dyDescent="0.3">
      <c r="A24" s="48" t="s">
        <v>308</v>
      </c>
      <c r="B24" s="4" t="s">
        <v>87</v>
      </c>
      <c r="C24" s="49" t="s">
        <v>192</v>
      </c>
      <c r="D24" s="50">
        <v>59.9</v>
      </c>
      <c r="E24" s="17">
        <f t="shared" si="0"/>
        <v>3290</v>
      </c>
      <c r="F24" s="30">
        <f t="shared" si="1"/>
        <v>68.884999999999991</v>
      </c>
      <c r="G24" s="51" t="s">
        <v>109</v>
      </c>
    </row>
    <row r="25" spans="1:7" x14ac:dyDescent="0.3">
      <c r="A25" s="48" t="s">
        <v>20</v>
      </c>
      <c r="B25" s="4" t="s">
        <v>88</v>
      </c>
      <c r="C25" s="49" t="s">
        <v>199</v>
      </c>
      <c r="D25" s="50">
        <v>59.9</v>
      </c>
      <c r="E25" s="17">
        <f t="shared" si="0"/>
        <v>3290</v>
      </c>
      <c r="F25" s="30">
        <f t="shared" si="1"/>
        <v>68.884999999999991</v>
      </c>
      <c r="G25" s="51" t="s">
        <v>268</v>
      </c>
    </row>
    <row r="26" spans="1:7" x14ac:dyDescent="0.3">
      <c r="A26" s="48" t="s">
        <v>22</v>
      </c>
      <c r="B26" s="4" t="s">
        <v>88</v>
      </c>
      <c r="C26" s="49" t="s">
        <v>200</v>
      </c>
      <c r="D26" s="50">
        <v>59.9</v>
      </c>
      <c r="E26" s="17">
        <f t="shared" si="0"/>
        <v>3290</v>
      </c>
      <c r="F26" s="30">
        <f t="shared" si="1"/>
        <v>68.884999999999991</v>
      </c>
      <c r="G26" s="51" t="s">
        <v>269</v>
      </c>
    </row>
    <row r="27" spans="1:7" x14ac:dyDescent="0.3">
      <c r="A27" s="48" t="s">
        <v>37</v>
      </c>
      <c r="B27" s="4" t="s">
        <v>88</v>
      </c>
      <c r="C27" s="49" t="s">
        <v>202</v>
      </c>
      <c r="D27" s="50">
        <v>59.9</v>
      </c>
      <c r="E27" s="17">
        <f t="shared" si="0"/>
        <v>3290</v>
      </c>
      <c r="F27" s="30">
        <f t="shared" si="1"/>
        <v>68.884999999999991</v>
      </c>
      <c r="G27" s="51" t="s">
        <v>270</v>
      </c>
    </row>
    <row r="28" spans="1:7" x14ac:dyDescent="0.3">
      <c r="A28" s="48" t="s">
        <v>42</v>
      </c>
      <c r="B28" s="4" t="s">
        <v>88</v>
      </c>
      <c r="C28" s="49" t="s">
        <v>200</v>
      </c>
      <c r="D28" s="50">
        <v>59.9</v>
      </c>
      <c r="E28" s="17">
        <f t="shared" si="0"/>
        <v>3290</v>
      </c>
      <c r="F28" s="30">
        <f t="shared" si="1"/>
        <v>68.884999999999991</v>
      </c>
      <c r="G28" s="51" t="s">
        <v>269</v>
      </c>
    </row>
    <row r="29" spans="1:7" x14ac:dyDescent="0.3">
      <c r="A29" s="48" t="s">
        <v>66</v>
      </c>
      <c r="B29" s="4" t="s">
        <v>88</v>
      </c>
      <c r="C29" s="49" t="s">
        <v>205</v>
      </c>
      <c r="D29" s="50">
        <v>59.9</v>
      </c>
      <c r="E29" s="17">
        <f t="shared" si="0"/>
        <v>3290</v>
      </c>
      <c r="F29" s="30">
        <f t="shared" si="1"/>
        <v>68.884999999999991</v>
      </c>
      <c r="G29" s="51" t="s">
        <v>271</v>
      </c>
    </row>
    <row r="30" spans="1:7" x14ac:dyDescent="0.3">
      <c r="A30" s="48" t="s">
        <v>7</v>
      </c>
      <c r="B30" s="4" t="s">
        <v>88</v>
      </c>
      <c r="C30" s="49" t="s">
        <v>206</v>
      </c>
      <c r="D30" s="50">
        <v>69.900000000000006</v>
      </c>
      <c r="E30" s="17">
        <f t="shared" si="0"/>
        <v>3840</v>
      </c>
      <c r="F30" s="30">
        <f t="shared" si="1"/>
        <v>80.385000000000005</v>
      </c>
      <c r="G30" s="51" t="s">
        <v>272</v>
      </c>
    </row>
    <row r="31" spans="1:7" x14ac:dyDescent="0.3">
      <c r="A31" s="48" t="s">
        <v>10</v>
      </c>
      <c r="B31" s="4" t="s">
        <v>88</v>
      </c>
      <c r="C31" s="49" t="s">
        <v>197</v>
      </c>
      <c r="D31" s="50">
        <v>69.900000000000006</v>
      </c>
      <c r="E31" s="17">
        <f t="shared" si="0"/>
        <v>3840</v>
      </c>
      <c r="F31" s="30">
        <f t="shared" si="1"/>
        <v>80.385000000000005</v>
      </c>
      <c r="G31" s="51" t="s">
        <v>115</v>
      </c>
    </row>
    <row r="32" spans="1:7" x14ac:dyDescent="0.3">
      <c r="A32" s="48" t="s">
        <v>13</v>
      </c>
      <c r="B32" s="4" t="s">
        <v>88</v>
      </c>
      <c r="C32" s="49" t="s">
        <v>198</v>
      </c>
      <c r="D32" s="50">
        <v>69.900000000000006</v>
      </c>
      <c r="E32" s="17">
        <f t="shared" si="0"/>
        <v>3840</v>
      </c>
      <c r="F32" s="30">
        <f t="shared" si="1"/>
        <v>80.385000000000005</v>
      </c>
      <c r="G32" s="51" t="s">
        <v>116</v>
      </c>
    </row>
    <row r="33" spans="1:7" x14ac:dyDescent="0.3">
      <c r="A33" s="48" t="s">
        <v>43</v>
      </c>
      <c r="B33" s="4" t="s">
        <v>88</v>
      </c>
      <c r="C33" s="49" t="s">
        <v>203</v>
      </c>
      <c r="D33" s="50">
        <v>69.900000000000006</v>
      </c>
      <c r="E33" s="17">
        <f t="shared" si="0"/>
        <v>3840</v>
      </c>
      <c r="F33" s="30">
        <f t="shared" si="1"/>
        <v>80.385000000000005</v>
      </c>
      <c r="G33" s="51" t="s">
        <v>275</v>
      </c>
    </row>
    <row r="34" spans="1:7" x14ac:dyDescent="0.3">
      <c r="A34" s="48" t="s">
        <v>48</v>
      </c>
      <c r="B34" s="4" t="s">
        <v>88</v>
      </c>
      <c r="C34" s="49" t="s">
        <v>199</v>
      </c>
      <c r="D34" s="50">
        <v>69.900000000000006</v>
      </c>
      <c r="E34" s="17">
        <f t="shared" si="0"/>
        <v>3840</v>
      </c>
      <c r="F34" s="30">
        <f t="shared" si="1"/>
        <v>80.385000000000005</v>
      </c>
      <c r="G34" s="51" t="s">
        <v>268</v>
      </c>
    </row>
    <row r="35" spans="1:7" x14ac:dyDescent="0.3">
      <c r="A35" s="48" t="s">
        <v>52</v>
      </c>
      <c r="B35" s="4" t="s">
        <v>88</v>
      </c>
      <c r="C35" s="49" t="s">
        <v>217</v>
      </c>
      <c r="D35" s="50">
        <v>69.900000000000006</v>
      </c>
      <c r="E35" s="17">
        <f t="shared" ref="E35:E66" si="2">ROUNDDOWN(+D35*EURKUR,-1)</f>
        <v>3840</v>
      </c>
      <c r="F35" s="30">
        <f t="shared" si="1"/>
        <v>80.385000000000005</v>
      </c>
      <c r="G35" s="51" t="s">
        <v>273</v>
      </c>
    </row>
    <row r="36" spans="1:7" x14ac:dyDescent="0.3">
      <c r="A36" s="48" t="s">
        <v>54</v>
      </c>
      <c r="B36" s="4" t="s">
        <v>88</v>
      </c>
      <c r="C36" s="49" t="s">
        <v>218</v>
      </c>
      <c r="D36" s="50">
        <v>69.900000000000006</v>
      </c>
      <c r="E36" s="17">
        <f t="shared" si="2"/>
        <v>3840</v>
      </c>
      <c r="F36" s="30">
        <f t="shared" si="1"/>
        <v>80.385000000000005</v>
      </c>
      <c r="G36" s="51" t="s">
        <v>274</v>
      </c>
    </row>
    <row r="37" spans="1:7" x14ac:dyDescent="0.3">
      <c r="A37" s="48" t="s">
        <v>58</v>
      </c>
      <c r="B37" s="4" t="s">
        <v>88</v>
      </c>
      <c r="C37" s="49" t="s">
        <v>218</v>
      </c>
      <c r="D37" s="50">
        <v>69.900000000000006</v>
      </c>
      <c r="E37" s="17">
        <f t="shared" si="2"/>
        <v>3840</v>
      </c>
      <c r="F37" s="30">
        <f t="shared" si="1"/>
        <v>80.385000000000005</v>
      </c>
      <c r="G37" s="51" t="s">
        <v>274</v>
      </c>
    </row>
    <row r="38" spans="1:7" x14ac:dyDescent="0.3">
      <c r="A38" s="48" t="s">
        <v>68</v>
      </c>
      <c r="B38" s="4" t="s">
        <v>88</v>
      </c>
      <c r="C38" s="49" t="s">
        <v>199</v>
      </c>
      <c r="D38" s="50">
        <v>69.900000000000006</v>
      </c>
      <c r="E38" s="17">
        <f t="shared" si="2"/>
        <v>3840</v>
      </c>
      <c r="F38" s="30">
        <f t="shared" si="1"/>
        <v>80.385000000000005</v>
      </c>
      <c r="G38" s="51" t="s">
        <v>268</v>
      </c>
    </row>
    <row r="39" spans="1:7" x14ac:dyDescent="0.3">
      <c r="A39" s="48" t="s">
        <v>69</v>
      </c>
      <c r="B39" s="4" t="s">
        <v>88</v>
      </c>
      <c r="C39" s="49" t="s">
        <v>199</v>
      </c>
      <c r="D39" s="50">
        <v>69.900000000000006</v>
      </c>
      <c r="E39" s="17">
        <f t="shared" si="2"/>
        <v>3840</v>
      </c>
      <c r="F39" s="30">
        <f t="shared" si="1"/>
        <v>80.385000000000005</v>
      </c>
      <c r="G39" s="51" t="s">
        <v>268</v>
      </c>
    </row>
    <row r="40" spans="1:7" x14ac:dyDescent="0.3">
      <c r="A40" s="48" t="s">
        <v>24</v>
      </c>
      <c r="B40" s="4" t="s">
        <v>89</v>
      </c>
      <c r="C40" s="49" t="s">
        <v>213</v>
      </c>
      <c r="D40" s="50">
        <v>79.900000000000006</v>
      </c>
      <c r="E40" s="17">
        <f t="shared" si="2"/>
        <v>4390</v>
      </c>
      <c r="F40" s="30">
        <f t="shared" si="1"/>
        <v>91.885000000000005</v>
      </c>
      <c r="G40" s="51" t="s">
        <v>130</v>
      </c>
    </row>
    <row r="41" spans="1:7" x14ac:dyDescent="0.3">
      <c r="A41" s="48" t="s">
        <v>131</v>
      </c>
      <c r="B41" s="4" t="s">
        <v>89</v>
      </c>
      <c r="C41" s="49" t="s">
        <v>213</v>
      </c>
      <c r="D41" s="50">
        <v>79.900000000000006</v>
      </c>
      <c r="E41" s="17">
        <f t="shared" si="2"/>
        <v>4390</v>
      </c>
      <c r="F41" s="30">
        <f t="shared" si="1"/>
        <v>91.885000000000005</v>
      </c>
      <c r="G41" s="51" t="s">
        <v>130</v>
      </c>
    </row>
    <row r="42" spans="1:7" x14ac:dyDescent="0.3">
      <c r="A42" s="48" t="s">
        <v>30</v>
      </c>
      <c r="B42" s="4" t="s">
        <v>89</v>
      </c>
      <c r="C42" s="49" t="s">
        <v>201</v>
      </c>
      <c r="D42" s="50">
        <v>79.900000000000006</v>
      </c>
      <c r="E42" s="17">
        <f t="shared" si="2"/>
        <v>4390</v>
      </c>
      <c r="F42" s="30">
        <f t="shared" si="1"/>
        <v>91.885000000000005</v>
      </c>
      <c r="G42" s="51" t="s">
        <v>119</v>
      </c>
    </row>
    <row r="43" spans="1:7" x14ac:dyDescent="0.3">
      <c r="A43" s="48" t="s">
        <v>31</v>
      </c>
      <c r="B43" s="4" t="s">
        <v>89</v>
      </c>
      <c r="C43" s="49" t="s">
        <v>201</v>
      </c>
      <c r="D43" s="50">
        <v>79.900000000000006</v>
      </c>
      <c r="E43" s="17">
        <f t="shared" si="2"/>
        <v>4390</v>
      </c>
      <c r="F43" s="30">
        <f t="shared" si="1"/>
        <v>91.885000000000005</v>
      </c>
      <c r="G43" s="51" t="s">
        <v>120</v>
      </c>
    </row>
    <row r="44" spans="1:7" x14ac:dyDescent="0.3">
      <c r="A44" s="48" t="s">
        <v>123</v>
      </c>
      <c r="B44" s="4" t="s">
        <v>89</v>
      </c>
      <c r="C44" s="49" t="s">
        <v>204</v>
      </c>
      <c r="D44" s="50">
        <v>79.900000000000006</v>
      </c>
      <c r="E44" s="17">
        <f t="shared" si="2"/>
        <v>4390</v>
      </c>
      <c r="F44" s="30">
        <f t="shared" si="1"/>
        <v>91.885000000000005</v>
      </c>
      <c r="G44" s="51" t="s">
        <v>124</v>
      </c>
    </row>
    <row r="45" spans="1:7" x14ac:dyDescent="0.3">
      <c r="A45" s="48" t="s">
        <v>55</v>
      </c>
      <c r="B45" s="4" t="s">
        <v>89</v>
      </c>
      <c r="C45" s="49" t="s">
        <v>204</v>
      </c>
      <c r="D45" s="50">
        <v>79.900000000000006</v>
      </c>
      <c r="E45" s="17">
        <f t="shared" si="2"/>
        <v>4390</v>
      </c>
      <c r="F45" s="30">
        <f t="shared" si="1"/>
        <v>91.885000000000005</v>
      </c>
      <c r="G45" s="51" t="s">
        <v>125</v>
      </c>
    </row>
    <row r="46" spans="1:7" x14ac:dyDescent="0.3">
      <c r="A46" s="48" t="s">
        <v>75</v>
      </c>
      <c r="B46" s="4" t="s">
        <v>89</v>
      </c>
      <c r="C46" s="49" t="s">
        <v>222</v>
      </c>
      <c r="D46" s="50">
        <v>79.900000000000006</v>
      </c>
      <c r="E46" s="17">
        <f t="shared" si="2"/>
        <v>4390</v>
      </c>
      <c r="F46" s="30">
        <f t="shared" si="1"/>
        <v>91.885000000000005</v>
      </c>
      <c r="G46" s="51" t="s">
        <v>142</v>
      </c>
    </row>
    <row r="47" spans="1:7" x14ac:dyDescent="0.3">
      <c r="A47" s="48" t="s">
        <v>143</v>
      </c>
      <c r="B47" s="4" t="s">
        <v>89</v>
      </c>
      <c r="C47" s="49" t="s">
        <v>222</v>
      </c>
      <c r="D47" s="50">
        <v>79.900000000000006</v>
      </c>
      <c r="E47" s="17">
        <f t="shared" si="2"/>
        <v>4390</v>
      </c>
      <c r="F47" s="30">
        <f t="shared" si="1"/>
        <v>91.885000000000005</v>
      </c>
      <c r="G47" s="51" t="s">
        <v>142</v>
      </c>
    </row>
    <row r="48" spans="1:7" x14ac:dyDescent="0.3">
      <c r="A48" s="48" t="s">
        <v>72</v>
      </c>
      <c r="B48" s="4" t="s">
        <v>89</v>
      </c>
      <c r="C48" s="49" t="s">
        <v>221</v>
      </c>
      <c r="D48" s="50">
        <v>89.9</v>
      </c>
      <c r="E48" s="17">
        <f t="shared" si="2"/>
        <v>4940</v>
      </c>
      <c r="F48" s="30">
        <f t="shared" si="1"/>
        <v>103.38500000000001</v>
      </c>
      <c r="G48" s="51" t="s">
        <v>140</v>
      </c>
    </row>
    <row r="49" spans="1:7" x14ac:dyDescent="0.3">
      <c r="A49" s="48" t="s">
        <v>141</v>
      </c>
      <c r="B49" s="4" t="s">
        <v>89</v>
      </c>
      <c r="C49" s="49" t="s">
        <v>221</v>
      </c>
      <c r="D49" s="50">
        <v>89.9</v>
      </c>
      <c r="E49" s="17">
        <f t="shared" si="2"/>
        <v>4940</v>
      </c>
      <c r="F49" s="30">
        <f t="shared" si="1"/>
        <v>103.38500000000001</v>
      </c>
      <c r="G49" s="51" t="s">
        <v>140</v>
      </c>
    </row>
    <row r="50" spans="1:7" x14ac:dyDescent="0.3">
      <c r="A50" s="48" t="s">
        <v>19</v>
      </c>
      <c r="B50" s="4" t="s">
        <v>88</v>
      </c>
      <c r="C50" s="49" t="s">
        <v>207</v>
      </c>
      <c r="D50" s="50">
        <v>89.9</v>
      </c>
      <c r="E50" s="17">
        <f t="shared" si="2"/>
        <v>4940</v>
      </c>
      <c r="F50" s="30">
        <f t="shared" si="1"/>
        <v>103.38500000000001</v>
      </c>
      <c r="G50" s="51" t="s">
        <v>276</v>
      </c>
    </row>
    <row r="51" spans="1:7" x14ac:dyDescent="0.3">
      <c r="A51" s="48" t="s">
        <v>21</v>
      </c>
      <c r="B51" s="4" t="s">
        <v>88</v>
      </c>
      <c r="C51" s="49" t="s">
        <v>210</v>
      </c>
      <c r="D51" s="50">
        <v>89.9</v>
      </c>
      <c r="E51" s="17">
        <f t="shared" si="2"/>
        <v>4940</v>
      </c>
      <c r="F51" s="30">
        <f t="shared" si="1"/>
        <v>103.38500000000001</v>
      </c>
      <c r="G51" s="51" t="s">
        <v>277</v>
      </c>
    </row>
    <row r="52" spans="1:7" x14ac:dyDescent="0.3">
      <c r="A52" s="48" t="s">
        <v>36</v>
      </c>
      <c r="B52" s="4" t="s">
        <v>88</v>
      </c>
      <c r="C52" s="49" t="s">
        <v>215</v>
      </c>
      <c r="D52" s="50">
        <v>89.9</v>
      </c>
      <c r="E52" s="17">
        <f t="shared" si="2"/>
        <v>4940</v>
      </c>
      <c r="F52" s="30">
        <f t="shared" si="1"/>
        <v>103.38500000000001</v>
      </c>
      <c r="G52" s="51" t="s">
        <v>278</v>
      </c>
    </row>
    <row r="53" spans="1:7" x14ac:dyDescent="0.3">
      <c r="A53" s="48" t="s">
        <v>41</v>
      </c>
      <c r="B53" s="4" t="s">
        <v>88</v>
      </c>
      <c r="C53" s="49" t="s">
        <v>210</v>
      </c>
      <c r="D53" s="50">
        <v>89.9</v>
      </c>
      <c r="E53" s="17">
        <f t="shared" si="2"/>
        <v>4940</v>
      </c>
      <c r="F53" s="30">
        <f t="shared" si="1"/>
        <v>103.38500000000001</v>
      </c>
      <c r="G53" s="51" t="s">
        <v>277</v>
      </c>
    </row>
    <row r="54" spans="1:7" x14ac:dyDescent="0.3">
      <c r="A54" s="48" t="s">
        <v>59</v>
      </c>
      <c r="B54" s="4" t="s">
        <v>88</v>
      </c>
      <c r="C54" s="49" t="s">
        <v>219</v>
      </c>
      <c r="D54" s="50">
        <v>89.9</v>
      </c>
      <c r="E54" s="17">
        <f t="shared" si="2"/>
        <v>4940</v>
      </c>
      <c r="F54" s="30">
        <f t="shared" si="1"/>
        <v>103.38500000000001</v>
      </c>
      <c r="G54" s="51" t="s">
        <v>138</v>
      </c>
    </row>
    <row r="55" spans="1:7" x14ac:dyDescent="0.3">
      <c r="A55" s="48" t="s">
        <v>65</v>
      </c>
      <c r="B55" s="4" t="s">
        <v>88</v>
      </c>
      <c r="C55" s="49" t="s">
        <v>220</v>
      </c>
      <c r="D55" s="50">
        <v>89.9</v>
      </c>
      <c r="E55" s="17">
        <f t="shared" si="2"/>
        <v>4940</v>
      </c>
      <c r="F55" s="30">
        <f t="shared" si="1"/>
        <v>103.38500000000001</v>
      </c>
      <c r="G55" s="51" t="s">
        <v>279</v>
      </c>
    </row>
    <row r="56" spans="1:7" x14ac:dyDescent="0.3">
      <c r="A56" s="48" t="s">
        <v>78</v>
      </c>
      <c r="B56" s="4" t="s">
        <v>88</v>
      </c>
      <c r="C56" s="49" t="s">
        <v>210</v>
      </c>
      <c r="D56" s="50">
        <v>89.9</v>
      </c>
      <c r="E56" s="17">
        <f t="shared" si="2"/>
        <v>4940</v>
      </c>
      <c r="F56" s="30">
        <f t="shared" si="1"/>
        <v>103.38500000000001</v>
      </c>
      <c r="G56" s="51" t="s">
        <v>277</v>
      </c>
    </row>
    <row r="57" spans="1:7" x14ac:dyDescent="0.3">
      <c r="A57" s="48" t="s">
        <v>63</v>
      </c>
      <c r="B57" s="4" t="s">
        <v>87</v>
      </c>
      <c r="C57" s="49" t="s">
        <v>242</v>
      </c>
      <c r="D57" s="50">
        <v>99.9</v>
      </c>
      <c r="E57" s="17">
        <f t="shared" si="2"/>
        <v>5490</v>
      </c>
      <c r="F57" s="30">
        <f t="shared" si="1"/>
        <v>114.88499999999999</v>
      </c>
      <c r="G57" s="51" t="s">
        <v>167</v>
      </c>
    </row>
    <row r="58" spans="1:7" x14ac:dyDescent="0.3">
      <c r="A58" s="48" t="s">
        <v>18</v>
      </c>
      <c r="B58" s="4" t="s">
        <v>89</v>
      </c>
      <c r="C58" s="49" t="s">
        <v>237</v>
      </c>
      <c r="D58" s="50">
        <v>99.9</v>
      </c>
      <c r="E58" s="17">
        <f t="shared" si="2"/>
        <v>5490</v>
      </c>
      <c r="F58" s="30">
        <f t="shared" si="1"/>
        <v>114.88499999999999</v>
      </c>
      <c r="G58" s="51" t="s">
        <v>159</v>
      </c>
    </row>
    <row r="59" spans="1:7" x14ac:dyDescent="0.3">
      <c r="A59" s="48" t="s">
        <v>160</v>
      </c>
      <c r="B59" s="4" t="s">
        <v>89</v>
      </c>
      <c r="C59" s="49" t="s">
        <v>237</v>
      </c>
      <c r="D59" s="50">
        <v>99.9</v>
      </c>
      <c r="E59" s="17">
        <f t="shared" si="2"/>
        <v>5490</v>
      </c>
      <c r="F59" s="30">
        <f t="shared" si="1"/>
        <v>114.88499999999999</v>
      </c>
      <c r="G59" s="51" t="s">
        <v>159</v>
      </c>
    </row>
    <row r="60" spans="1:7" x14ac:dyDescent="0.3">
      <c r="A60" s="48" t="s">
        <v>132</v>
      </c>
      <c r="B60" s="4" t="s">
        <v>89</v>
      </c>
      <c r="C60" s="49" t="s">
        <v>214</v>
      </c>
      <c r="D60" s="50">
        <v>99.9</v>
      </c>
      <c r="E60" s="17">
        <f t="shared" si="2"/>
        <v>5490</v>
      </c>
      <c r="F60" s="30">
        <f t="shared" si="1"/>
        <v>114.88499999999999</v>
      </c>
      <c r="G60" s="51" t="s">
        <v>133</v>
      </c>
    </row>
    <row r="61" spans="1:7" x14ac:dyDescent="0.3">
      <c r="A61" s="48" t="s">
        <v>38</v>
      </c>
      <c r="B61" s="4" t="s">
        <v>89</v>
      </c>
      <c r="C61" s="49" t="s">
        <v>216</v>
      </c>
      <c r="D61" s="50">
        <v>99.9</v>
      </c>
      <c r="E61" s="17">
        <f t="shared" si="2"/>
        <v>5490</v>
      </c>
      <c r="F61" s="30">
        <f t="shared" si="1"/>
        <v>114.88499999999999</v>
      </c>
      <c r="G61" s="51" t="s">
        <v>135</v>
      </c>
    </row>
    <row r="62" spans="1:7" x14ac:dyDescent="0.3">
      <c r="A62" s="48" t="s">
        <v>60</v>
      </c>
      <c r="B62" s="4" t="s">
        <v>89</v>
      </c>
      <c r="C62" s="49" t="s">
        <v>240</v>
      </c>
      <c r="D62" s="50">
        <v>99.9</v>
      </c>
      <c r="E62" s="17">
        <f t="shared" si="2"/>
        <v>5490</v>
      </c>
      <c r="F62" s="30">
        <f t="shared" si="1"/>
        <v>114.88499999999999</v>
      </c>
      <c r="G62" s="51" t="s">
        <v>164</v>
      </c>
    </row>
    <row r="63" spans="1:7" x14ac:dyDescent="0.3">
      <c r="A63" s="48" t="s">
        <v>165</v>
      </c>
      <c r="B63" s="4" t="s">
        <v>89</v>
      </c>
      <c r="C63" s="49" t="s">
        <v>240</v>
      </c>
      <c r="D63" s="50">
        <v>99.9</v>
      </c>
      <c r="E63" s="17">
        <f t="shared" si="2"/>
        <v>5490</v>
      </c>
      <c r="F63" s="30">
        <f t="shared" si="1"/>
        <v>114.88499999999999</v>
      </c>
      <c r="G63" s="51" t="s">
        <v>164</v>
      </c>
    </row>
    <row r="64" spans="1:7" x14ac:dyDescent="0.3">
      <c r="A64" s="48" t="s">
        <v>76</v>
      </c>
      <c r="B64" s="4" t="s">
        <v>89</v>
      </c>
      <c r="C64" s="49" t="s">
        <v>236</v>
      </c>
      <c r="D64" s="50">
        <v>99.9</v>
      </c>
      <c r="E64" s="17">
        <f t="shared" si="2"/>
        <v>5490</v>
      </c>
      <c r="F64" s="30">
        <f t="shared" si="1"/>
        <v>114.88499999999999</v>
      </c>
      <c r="G64" s="51" t="s">
        <v>157</v>
      </c>
    </row>
    <row r="65" spans="1:7" x14ac:dyDescent="0.3">
      <c r="A65" s="48" t="s">
        <v>158</v>
      </c>
      <c r="B65" s="4" t="s">
        <v>89</v>
      </c>
      <c r="C65" s="49" t="s">
        <v>236</v>
      </c>
      <c r="D65" s="50">
        <v>99.9</v>
      </c>
      <c r="E65" s="17">
        <f t="shared" si="2"/>
        <v>5490</v>
      </c>
      <c r="F65" s="30">
        <f t="shared" si="1"/>
        <v>114.88499999999999</v>
      </c>
      <c r="G65" s="51" t="s">
        <v>157</v>
      </c>
    </row>
    <row r="66" spans="1:7" x14ac:dyDescent="0.3">
      <c r="A66" s="48" t="s">
        <v>77</v>
      </c>
      <c r="B66" s="4" t="s">
        <v>89</v>
      </c>
      <c r="C66" s="49" t="s">
        <v>238</v>
      </c>
      <c r="D66" s="50">
        <v>99.9</v>
      </c>
      <c r="E66" s="17">
        <f t="shared" si="2"/>
        <v>5490</v>
      </c>
      <c r="F66" s="30">
        <f t="shared" si="1"/>
        <v>114.88499999999999</v>
      </c>
      <c r="G66" s="51" t="s">
        <v>161</v>
      </c>
    </row>
    <row r="67" spans="1:7" x14ac:dyDescent="0.3">
      <c r="A67" s="48" t="s">
        <v>162</v>
      </c>
      <c r="B67" s="4" t="s">
        <v>89</v>
      </c>
      <c r="C67" s="49" t="s">
        <v>238</v>
      </c>
      <c r="D67" s="50">
        <v>99.9</v>
      </c>
      <c r="E67" s="17">
        <f t="shared" ref="E67:E101" si="3">ROUNDDOWN(+D67*EURKUR,-1)</f>
        <v>5490</v>
      </c>
      <c r="F67" s="30">
        <f t="shared" ref="F67:F107" si="4">+D67*$F$1</f>
        <v>114.88499999999999</v>
      </c>
      <c r="G67" s="51" t="s">
        <v>161</v>
      </c>
    </row>
    <row r="68" spans="1:7" x14ac:dyDescent="0.3">
      <c r="A68" s="48" t="s">
        <v>3</v>
      </c>
      <c r="B68" s="4" t="s">
        <v>88</v>
      </c>
      <c r="C68" s="49" t="s">
        <v>223</v>
      </c>
      <c r="D68" s="50">
        <v>99.9</v>
      </c>
      <c r="E68" s="17">
        <f t="shared" si="3"/>
        <v>5490</v>
      </c>
      <c r="F68" s="30">
        <f t="shared" si="4"/>
        <v>114.88499999999999</v>
      </c>
      <c r="G68" s="51" t="s">
        <v>144</v>
      </c>
    </row>
    <row r="69" spans="1:7" x14ac:dyDescent="0.3">
      <c r="A69" s="48" t="s">
        <v>6</v>
      </c>
      <c r="B69" s="4" t="s">
        <v>88</v>
      </c>
      <c r="C69" s="49" t="s">
        <v>224</v>
      </c>
      <c r="D69" s="50">
        <v>99.9</v>
      </c>
      <c r="E69" s="17">
        <f t="shared" si="3"/>
        <v>5490</v>
      </c>
      <c r="F69" s="30">
        <f t="shared" si="4"/>
        <v>114.88499999999999</v>
      </c>
      <c r="G69" s="51" t="s">
        <v>282</v>
      </c>
    </row>
    <row r="70" spans="1:7" x14ac:dyDescent="0.3">
      <c r="A70" s="48" t="s">
        <v>8</v>
      </c>
      <c r="B70" s="4" t="s">
        <v>88</v>
      </c>
      <c r="C70" s="49" t="s">
        <v>225</v>
      </c>
      <c r="D70" s="50">
        <v>99.9</v>
      </c>
      <c r="E70" s="17">
        <f t="shared" si="3"/>
        <v>5490</v>
      </c>
      <c r="F70" s="30">
        <f t="shared" si="4"/>
        <v>114.88499999999999</v>
      </c>
      <c r="G70" s="51" t="s">
        <v>146</v>
      </c>
    </row>
    <row r="71" spans="1:7" x14ac:dyDescent="0.3">
      <c r="A71" s="48" t="s">
        <v>12</v>
      </c>
      <c r="B71" s="4" t="s">
        <v>88</v>
      </c>
      <c r="C71" s="49" t="s">
        <v>226</v>
      </c>
      <c r="D71" s="50">
        <v>99.9</v>
      </c>
      <c r="E71" s="17">
        <f t="shared" si="3"/>
        <v>5490</v>
      </c>
      <c r="F71" s="30">
        <f t="shared" si="4"/>
        <v>114.88499999999999</v>
      </c>
      <c r="G71" s="51" t="s">
        <v>147</v>
      </c>
    </row>
    <row r="72" spans="1:7" x14ac:dyDescent="0.3">
      <c r="A72" s="48" t="s">
        <v>16</v>
      </c>
      <c r="B72" s="4" t="s">
        <v>88</v>
      </c>
      <c r="C72" s="49" t="s">
        <v>227</v>
      </c>
      <c r="D72" s="50">
        <v>99.9</v>
      </c>
      <c r="E72" s="17">
        <f t="shared" si="3"/>
        <v>5490</v>
      </c>
      <c r="F72" s="30">
        <f t="shared" si="4"/>
        <v>114.88499999999999</v>
      </c>
      <c r="G72" s="51" t="s">
        <v>148</v>
      </c>
    </row>
    <row r="73" spans="1:7" x14ac:dyDescent="0.3">
      <c r="A73" s="48" t="s">
        <v>17</v>
      </c>
      <c r="B73" s="4" t="s">
        <v>88</v>
      </c>
      <c r="C73" s="49" t="s">
        <v>228</v>
      </c>
      <c r="D73" s="50">
        <v>99.9</v>
      </c>
      <c r="E73" s="17">
        <f t="shared" si="3"/>
        <v>5490</v>
      </c>
      <c r="F73" s="30">
        <f t="shared" si="4"/>
        <v>114.88499999999999</v>
      </c>
      <c r="G73" s="51" t="s">
        <v>283</v>
      </c>
    </row>
    <row r="74" spans="1:7" x14ac:dyDescent="0.3">
      <c r="A74" s="48" t="s">
        <v>208</v>
      </c>
      <c r="B74" s="4" t="s">
        <v>88</v>
      </c>
      <c r="C74" s="49" t="s">
        <v>209</v>
      </c>
      <c r="D74" s="50">
        <v>99.9</v>
      </c>
      <c r="E74" s="17">
        <f t="shared" si="3"/>
        <v>5490</v>
      </c>
      <c r="F74" s="30">
        <f t="shared" si="4"/>
        <v>114.88499999999999</v>
      </c>
      <c r="G74" s="51" t="s">
        <v>280</v>
      </c>
    </row>
    <row r="75" spans="1:7" x14ac:dyDescent="0.3">
      <c r="A75" s="48" t="s">
        <v>211</v>
      </c>
      <c r="B75" s="4" t="s">
        <v>88</v>
      </c>
      <c r="C75" s="49" t="s">
        <v>212</v>
      </c>
      <c r="D75" s="50">
        <v>99.9</v>
      </c>
      <c r="E75" s="17">
        <f t="shared" si="3"/>
        <v>5490</v>
      </c>
      <c r="F75" s="30">
        <f t="shared" si="4"/>
        <v>114.88499999999999</v>
      </c>
      <c r="G75" s="51" t="s">
        <v>281</v>
      </c>
    </row>
    <row r="76" spans="1:7" x14ac:dyDescent="0.3">
      <c r="A76" s="48" t="s">
        <v>26</v>
      </c>
      <c r="B76" s="4" t="s">
        <v>88</v>
      </c>
      <c r="C76" s="49" t="s">
        <v>229</v>
      </c>
      <c r="D76" s="50">
        <v>99.9</v>
      </c>
      <c r="E76" s="17">
        <f t="shared" si="3"/>
        <v>5490</v>
      </c>
      <c r="F76" s="30">
        <f t="shared" si="4"/>
        <v>114.88499999999999</v>
      </c>
      <c r="G76" s="51" t="s">
        <v>284</v>
      </c>
    </row>
    <row r="77" spans="1:7" x14ac:dyDescent="0.3">
      <c r="A77" s="48" t="s">
        <v>35</v>
      </c>
      <c r="B77" s="4" t="s">
        <v>88</v>
      </c>
      <c r="C77" s="49" t="s">
        <v>239</v>
      </c>
      <c r="D77" s="50">
        <v>99.9</v>
      </c>
      <c r="E77" s="17">
        <f t="shared" si="3"/>
        <v>5490</v>
      </c>
      <c r="F77" s="30">
        <f t="shared" si="4"/>
        <v>114.88499999999999</v>
      </c>
      <c r="G77" s="51" t="s">
        <v>163</v>
      </c>
    </row>
    <row r="78" spans="1:7" x14ac:dyDescent="0.3">
      <c r="A78" s="48" t="s">
        <v>44</v>
      </c>
      <c r="B78" s="4" t="s">
        <v>88</v>
      </c>
      <c r="C78" s="49" t="s">
        <v>233</v>
      </c>
      <c r="D78" s="50">
        <v>99.9</v>
      </c>
      <c r="E78" s="17">
        <f t="shared" si="3"/>
        <v>5490</v>
      </c>
      <c r="F78" s="30">
        <f t="shared" si="4"/>
        <v>114.88499999999999</v>
      </c>
      <c r="G78" s="51" t="s">
        <v>154</v>
      </c>
    </row>
    <row r="79" spans="1:7" x14ac:dyDescent="0.3">
      <c r="A79" s="48" t="s">
        <v>46</v>
      </c>
      <c r="B79" s="4" t="s">
        <v>88</v>
      </c>
      <c r="C79" s="49" t="s">
        <v>228</v>
      </c>
      <c r="D79" s="50">
        <v>99.9</v>
      </c>
      <c r="E79" s="17">
        <f t="shared" si="3"/>
        <v>5490</v>
      </c>
      <c r="F79" s="30">
        <f t="shared" si="4"/>
        <v>114.88499999999999</v>
      </c>
      <c r="G79" s="51" t="s">
        <v>283</v>
      </c>
    </row>
    <row r="80" spans="1:7" x14ac:dyDescent="0.3">
      <c r="A80" s="48" t="s">
        <v>51</v>
      </c>
      <c r="B80" s="4" t="s">
        <v>88</v>
      </c>
      <c r="C80" s="49" t="s">
        <v>234</v>
      </c>
      <c r="D80" s="50">
        <v>99.9</v>
      </c>
      <c r="E80" s="17">
        <f t="shared" si="3"/>
        <v>5490</v>
      </c>
      <c r="F80" s="30">
        <f t="shared" si="4"/>
        <v>114.88499999999999</v>
      </c>
      <c r="G80" s="51" t="s">
        <v>285</v>
      </c>
    </row>
    <row r="81" spans="1:7" x14ac:dyDescent="0.3">
      <c r="A81" s="48" t="s">
        <v>53</v>
      </c>
      <c r="B81" s="4" t="s">
        <v>88</v>
      </c>
      <c r="C81" s="49" t="s">
        <v>235</v>
      </c>
      <c r="D81" s="50">
        <v>99.9</v>
      </c>
      <c r="E81" s="17">
        <f t="shared" si="3"/>
        <v>5490</v>
      </c>
      <c r="F81" s="30">
        <f t="shared" si="4"/>
        <v>114.88499999999999</v>
      </c>
      <c r="G81" s="51" t="s">
        <v>286</v>
      </c>
    </row>
    <row r="82" spans="1:7" x14ac:dyDescent="0.3">
      <c r="A82" s="48" t="s">
        <v>57</v>
      </c>
      <c r="B82" s="4" t="s">
        <v>88</v>
      </c>
      <c r="C82" s="49" t="s">
        <v>235</v>
      </c>
      <c r="D82" s="50">
        <v>99.9</v>
      </c>
      <c r="E82" s="17">
        <f t="shared" si="3"/>
        <v>5490</v>
      </c>
      <c r="F82" s="30">
        <f t="shared" si="4"/>
        <v>114.88499999999999</v>
      </c>
      <c r="G82" s="51" t="s">
        <v>286</v>
      </c>
    </row>
    <row r="83" spans="1:7" x14ac:dyDescent="0.3">
      <c r="A83" s="48" t="s">
        <v>74</v>
      </c>
      <c r="B83" s="4" t="s">
        <v>88</v>
      </c>
      <c r="C83" s="49" t="s">
        <v>207</v>
      </c>
      <c r="D83" s="50">
        <v>99.9</v>
      </c>
      <c r="E83" s="17">
        <f t="shared" si="3"/>
        <v>5490</v>
      </c>
      <c r="F83" s="30">
        <f t="shared" si="4"/>
        <v>114.88499999999999</v>
      </c>
      <c r="G83" s="51" t="s">
        <v>276</v>
      </c>
    </row>
    <row r="84" spans="1:7" x14ac:dyDescent="0.3">
      <c r="A84" s="48" t="s">
        <v>4</v>
      </c>
      <c r="B84" s="4" t="s">
        <v>88</v>
      </c>
      <c r="C84" s="49" t="s">
        <v>241</v>
      </c>
      <c r="D84" s="50">
        <v>109.9</v>
      </c>
      <c r="E84" s="17">
        <f t="shared" si="3"/>
        <v>6040</v>
      </c>
      <c r="F84" s="30">
        <f t="shared" si="4"/>
        <v>126.38499999999999</v>
      </c>
      <c r="G84" s="51" t="s">
        <v>166</v>
      </c>
    </row>
    <row r="85" spans="1:7" x14ac:dyDescent="0.3">
      <c r="A85" s="48" t="s">
        <v>309</v>
      </c>
      <c r="B85" s="4" t="s">
        <v>88</v>
      </c>
      <c r="C85" s="49" t="s">
        <v>310</v>
      </c>
      <c r="D85" s="50">
        <v>109.9</v>
      </c>
      <c r="E85" s="17">
        <f t="shared" si="3"/>
        <v>6040</v>
      </c>
      <c r="F85" s="30">
        <f t="shared" si="4"/>
        <v>126.38499999999999</v>
      </c>
      <c r="G85" s="51" t="s">
        <v>311</v>
      </c>
    </row>
    <row r="86" spans="1:7" x14ac:dyDescent="0.3">
      <c r="A86" s="48" t="s">
        <v>312</v>
      </c>
      <c r="B86" s="4" t="s">
        <v>88</v>
      </c>
      <c r="C86" s="49" t="s">
        <v>313</v>
      </c>
      <c r="D86" s="50">
        <v>109.9</v>
      </c>
      <c r="E86" s="17">
        <f t="shared" si="3"/>
        <v>6040</v>
      </c>
      <c r="F86" s="30">
        <f t="shared" si="4"/>
        <v>126.38499999999999</v>
      </c>
      <c r="G86" s="51" t="s">
        <v>314</v>
      </c>
    </row>
    <row r="87" spans="1:7" x14ac:dyDescent="0.3">
      <c r="A87" s="48" t="s">
        <v>73</v>
      </c>
      <c r="B87" s="4" t="s">
        <v>88</v>
      </c>
      <c r="C87" s="49" t="s">
        <v>207</v>
      </c>
      <c r="D87" s="50">
        <v>109.9</v>
      </c>
      <c r="E87" s="17">
        <f t="shared" si="3"/>
        <v>6040</v>
      </c>
      <c r="F87" s="30">
        <f t="shared" si="4"/>
        <v>126.38499999999999</v>
      </c>
      <c r="G87" s="51" t="s">
        <v>276</v>
      </c>
    </row>
    <row r="88" spans="1:7" x14ac:dyDescent="0.3">
      <c r="A88" s="48" t="s">
        <v>34</v>
      </c>
      <c r="B88" s="4" t="s">
        <v>88</v>
      </c>
      <c r="C88" s="49" t="s">
        <v>230</v>
      </c>
      <c r="D88" s="50">
        <v>129.9</v>
      </c>
      <c r="E88" s="17">
        <f t="shared" si="3"/>
        <v>7140</v>
      </c>
      <c r="F88" s="30">
        <f t="shared" si="4"/>
        <v>149.38499999999999</v>
      </c>
      <c r="G88" s="51" t="s">
        <v>287</v>
      </c>
    </row>
    <row r="89" spans="1:7" x14ac:dyDescent="0.3">
      <c r="A89" s="48" t="s">
        <v>315</v>
      </c>
      <c r="B89" s="4" t="s">
        <v>88</v>
      </c>
      <c r="C89" s="49" t="s">
        <v>316</v>
      </c>
      <c r="D89" s="50">
        <v>129.9</v>
      </c>
      <c r="E89" s="17">
        <f t="shared" si="3"/>
        <v>7140</v>
      </c>
      <c r="F89" s="30">
        <f t="shared" si="4"/>
        <v>149.38499999999999</v>
      </c>
      <c r="G89" s="51" t="s">
        <v>317</v>
      </c>
    </row>
    <row r="90" spans="1:7" x14ac:dyDescent="0.3">
      <c r="A90" s="48" t="s">
        <v>39</v>
      </c>
      <c r="B90" s="4" t="s">
        <v>88</v>
      </c>
      <c r="C90" s="49" t="s">
        <v>231</v>
      </c>
      <c r="D90" s="50">
        <v>129.9</v>
      </c>
      <c r="E90" s="17">
        <f t="shared" si="3"/>
        <v>7140</v>
      </c>
      <c r="F90" s="30">
        <f t="shared" si="4"/>
        <v>149.38499999999999</v>
      </c>
      <c r="G90" s="51" t="s">
        <v>152</v>
      </c>
    </row>
    <row r="91" spans="1:7" x14ac:dyDescent="0.3">
      <c r="A91" s="48" t="s">
        <v>318</v>
      </c>
      <c r="B91" s="4" t="s">
        <v>88</v>
      </c>
      <c r="C91" s="49" t="s">
        <v>232</v>
      </c>
      <c r="D91" s="50">
        <v>129.9</v>
      </c>
      <c r="E91" s="17">
        <f t="shared" si="3"/>
        <v>7140</v>
      </c>
      <c r="F91" s="30">
        <f t="shared" si="4"/>
        <v>149.38499999999999</v>
      </c>
      <c r="G91" s="51" t="s">
        <v>288</v>
      </c>
    </row>
    <row r="92" spans="1:7" x14ac:dyDescent="0.3">
      <c r="A92" s="48" t="s">
        <v>319</v>
      </c>
      <c r="B92" s="4" t="s">
        <v>88</v>
      </c>
      <c r="C92" s="49" t="s">
        <v>232</v>
      </c>
      <c r="D92" s="50">
        <v>129.9</v>
      </c>
      <c r="E92" s="17">
        <f t="shared" si="3"/>
        <v>7140</v>
      </c>
      <c r="F92" s="30">
        <f t="shared" si="4"/>
        <v>149.38499999999999</v>
      </c>
      <c r="G92" s="51" t="s">
        <v>288</v>
      </c>
    </row>
    <row r="93" spans="1:7" x14ac:dyDescent="0.3">
      <c r="A93" s="48" t="s">
        <v>9</v>
      </c>
      <c r="B93" s="4" t="s">
        <v>88</v>
      </c>
      <c r="C93" s="49" t="s">
        <v>243</v>
      </c>
      <c r="D93" s="50">
        <v>159.9</v>
      </c>
      <c r="E93" s="17">
        <f t="shared" si="3"/>
        <v>8790</v>
      </c>
      <c r="F93" s="30">
        <f t="shared" si="4"/>
        <v>183.88499999999999</v>
      </c>
      <c r="G93" s="51" t="s">
        <v>168</v>
      </c>
    </row>
    <row r="94" spans="1:7" x14ac:dyDescent="0.3">
      <c r="A94" s="48" t="s">
        <v>320</v>
      </c>
      <c r="B94" s="4" t="s">
        <v>88</v>
      </c>
      <c r="C94" s="49" t="s">
        <v>321</v>
      </c>
      <c r="D94" s="50">
        <v>169.9</v>
      </c>
      <c r="E94" s="17">
        <f t="shared" si="3"/>
        <v>9340</v>
      </c>
      <c r="F94" s="30">
        <f t="shared" si="4"/>
        <v>195.38499999999999</v>
      </c>
      <c r="G94" s="51" t="s">
        <v>322</v>
      </c>
    </row>
    <row r="95" spans="1:7" x14ac:dyDescent="0.3">
      <c r="A95" s="48" t="s">
        <v>244</v>
      </c>
      <c r="B95" s="4" t="s">
        <v>89</v>
      </c>
      <c r="C95" s="49" t="s">
        <v>245</v>
      </c>
      <c r="D95" s="50">
        <v>189.9</v>
      </c>
      <c r="E95" s="17">
        <f t="shared" si="3"/>
        <v>10440</v>
      </c>
      <c r="F95" s="30">
        <f t="shared" si="4"/>
        <v>218.38499999999999</v>
      </c>
      <c r="G95" s="51" t="s">
        <v>289</v>
      </c>
    </row>
    <row r="96" spans="1:7" x14ac:dyDescent="0.3">
      <c r="A96" s="48" t="s">
        <v>246</v>
      </c>
      <c r="B96" s="4" t="s">
        <v>89</v>
      </c>
      <c r="C96" s="49" t="s">
        <v>245</v>
      </c>
      <c r="D96" s="50">
        <v>189.9</v>
      </c>
      <c r="E96" s="17">
        <f t="shared" si="3"/>
        <v>10440</v>
      </c>
      <c r="F96" s="30">
        <f t="shared" si="4"/>
        <v>218.38499999999999</v>
      </c>
      <c r="G96" s="51" t="s">
        <v>289</v>
      </c>
    </row>
    <row r="97" spans="1:7" x14ac:dyDescent="0.3">
      <c r="A97" s="48" t="s">
        <v>2</v>
      </c>
      <c r="B97" s="4" t="s">
        <v>88</v>
      </c>
      <c r="C97" s="49" t="s">
        <v>247</v>
      </c>
      <c r="D97" s="50">
        <v>219.9</v>
      </c>
      <c r="E97" s="17">
        <f t="shared" si="3"/>
        <v>12090</v>
      </c>
      <c r="F97" s="30">
        <f t="shared" si="4"/>
        <v>252.88499999999999</v>
      </c>
      <c r="G97" s="51" t="s">
        <v>171</v>
      </c>
    </row>
    <row r="98" spans="1:7" x14ac:dyDescent="0.3">
      <c r="A98" s="48" t="s">
        <v>323</v>
      </c>
      <c r="B98" s="4" t="s">
        <v>88</v>
      </c>
      <c r="C98" s="49" t="s">
        <v>324</v>
      </c>
      <c r="D98" s="50">
        <v>229.9</v>
      </c>
      <c r="E98" s="17">
        <f t="shared" si="3"/>
        <v>12640</v>
      </c>
      <c r="F98" s="30">
        <f t="shared" si="4"/>
        <v>264.38499999999999</v>
      </c>
      <c r="G98" s="51" t="s">
        <v>325</v>
      </c>
    </row>
    <row r="99" spans="1:7" x14ac:dyDescent="0.3">
      <c r="A99" s="48" t="s">
        <v>29</v>
      </c>
      <c r="B99" s="4" t="s">
        <v>88</v>
      </c>
      <c r="C99" s="49" t="s">
        <v>248</v>
      </c>
      <c r="D99" s="50">
        <v>219.9</v>
      </c>
      <c r="E99" s="17">
        <f t="shared" si="3"/>
        <v>12090</v>
      </c>
      <c r="F99" s="30">
        <f t="shared" si="4"/>
        <v>252.88499999999999</v>
      </c>
      <c r="G99" s="51" t="s">
        <v>172</v>
      </c>
    </row>
    <row r="100" spans="1:7" x14ac:dyDescent="0.3">
      <c r="A100" s="48" t="s">
        <v>326</v>
      </c>
      <c r="B100" s="4" t="s">
        <v>88</v>
      </c>
      <c r="C100" s="49" t="s">
        <v>327</v>
      </c>
      <c r="D100" s="50">
        <v>229.9</v>
      </c>
      <c r="E100" s="17">
        <f t="shared" si="3"/>
        <v>12640</v>
      </c>
      <c r="F100" s="30">
        <f t="shared" si="4"/>
        <v>264.38499999999999</v>
      </c>
      <c r="G100" s="51" t="s">
        <v>328</v>
      </c>
    </row>
    <row r="101" spans="1:7" x14ac:dyDescent="0.3">
      <c r="A101" s="48" t="s">
        <v>1</v>
      </c>
      <c r="B101" s="4" t="s">
        <v>89</v>
      </c>
      <c r="C101" s="49" t="s">
        <v>252</v>
      </c>
      <c r="D101" s="50">
        <v>249.9</v>
      </c>
      <c r="E101" s="17">
        <f t="shared" si="3"/>
        <v>13740</v>
      </c>
      <c r="F101" s="30">
        <f t="shared" si="4"/>
        <v>287.38499999999999</v>
      </c>
      <c r="G101" s="51" t="s">
        <v>169</v>
      </c>
    </row>
    <row r="102" spans="1:7" x14ac:dyDescent="0.3">
      <c r="A102" s="48" t="s">
        <v>170</v>
      </c>
      <c r="B102" s="4" t="s">
        <v>89</v>
      </c>
      <c r="C102" s="49" t="s">
        <v>252</v>
      </c>
      <c r="D102" s="50">
        <v>249.9</v>
      </c>
      <c r="E102" s="17">
        <f t="shared" ref="E102:E107" si="5">ROUNDDOWN(+D102*EURKUR,-1)</f>
        <v>13740</v>
      </c>
      <c r="F102" s="30">
        <f t="shared" si="4"/>
        <v>287.38499999999999</v>
      </c>
      <c r="G102" s="51" t="s">
        <v>169</v>
      </c>
    </row>
    <row r="103" spans="1:7" x14ac:dyDescent="0.3">
      <c r="A103" s="48" t="s">
        <v>5</v>
      </c>
      <c r="B103" s="4" t="s">
        <v>88</v>
      </c>
      <c r="C103" s="49" t="s">
        <v>249</v>
      </c>
      <c r="D103" s="50">
        <v>449.9</v>
      </c>
      <c r="E103" s="17">
        <f t="shared" si="5"/>
        <v>24740</v>
      </c>
      <c r="F103" s="30">
        <f t="shared" si="4"/>
        <v>517.38499999999988</v>
      </c>
      <c r="G103" s="51" t="s">
        <v>173</v>
      </c>
    </row>
    <row r="104" spans="1:7" x14ac:dyDescent="0.3">
      <c r="A104" s="48" t="s">
        <v>25</v>
      </c>
      <c r="B104" s="4" t="s">
        <v>88</v>
      </c>
      <c r="C104" s="49" t="s">
        <v>253</v>
      </c>
      <c r="D104" s="50">
        <v>449.9</v>
      </c>
      <c r="E104" s="17">
        <f t="shared" si="5"/>
        <v>24740</v>
      </c>
      <c r="F104" s="30">
        <f t="shared" si="4"/>
        <v>517.38499999999988</v>
      </c>
      <c r="G104" s="51" t="s">
        <v>174</v>
      </c>
    </row>
    <row r="105" spans="1:7" x14ac:dyDescent="0.3">
      <c r="A105" s="48" t="s">
        <v>256</v>
      </c>
      <c r="B105" s="4" t="s">
        <v>88</v>
      </c>
      <c r="C105" s="49" t="s">
        <v>253</v>
      </c>
      <c r="D105" s="50">
        <v>449.9</v>
      </c>
      <c r="E105" s="17">
        <f t="shared" si="5"/>
        <v>24740</v>
      </c>
      <c r="F105" s="30">
        <f t="shared" si="4"/>
        <v>517.38499999999988</v>
      </c>
      <c r="G105" s="51" t="s">
        <v>174</v>
      </c>
    </row>
    <row r="106" spans="1:7" x14ac:dyDescent="0.3">
      <c r="A106" s="48" t="s">
        <v>250</v>
      </c>
      <c r="B106" s="4" t="s">
        <v>88</v>
      </c>
      <c r="C106" s="49" t="s">
        <v>251</v>
      </c>
      <c r="D106" s="50">
        <v>499.9</v>
      </c>
      <c r="E106" s="17">
        <f t="shared" si="5"/>
        <v>27490</v>
      </c>
      <c r="F106" s="30">
        <f t="shared" si="4"/>
        <v>574.88499999999988</v>
      </c>
      <c r="G106" s="51" t="s">
        <v>290</v>
      </c>
    </row>
    <row r="107" spans="1:7" ht="15" thickBot="1" x14ac:dyDescent="0.35">
      <c r="A107" s="54" t="s">
        <v>254</v>
      </c>
      <c r="B107" s="8" t="s">
        <v>88</v>
      </c>
      <c r="C107" s="55" t="s">
        <v>255</v>
      </c>
      <c r="D107" s="56">
        <v>499.9</v>
      </c>
      <c r="E107" s="20">
        <f t="shared" si="5"/>
        <v>27490</v>
      </c>
      <c r="F107" s="57">
        <f t="shared" si="4"/>
        <v>574.88499999999988</v>
      </c>
      <c r="G107" s="58" t="s">
        <v>291</v>
      </c>
    </row>
    <row r="109" spans="1:7" x14ac:dyDescent="0.3">
      <c r="A109" s="59" t="s">
        <v>331</v>
      </c>
    </row>
    <row r="110" spans="1:7" x14ac:dyDescent="0.3">
      <c r="A110" s="59" t="s">
        <v>332</v>
      </c>
    </row>
    <row r="111" spans="1:7" x14ac:dyDescent="0.3">
      <c r="A111" s="59"/>
    </row>
    <row r="112" spans="1:7" x14ac:dyDescent="0.3">
      <c r="A112" s="59"/>
    </row>
    <row r="113" spans="1:1" x14ac:dyDescent="0.3">
      <c r="A113" s="59"/>
    </row>
    <row r="114" spans="1:1" x14ac:dyDescent="0.3">
      <c r="A114" s="59"/>
    </row>
    <row r="115" spans="1:1" x14ac:dyDescent="0.3">
      <c r="A115" s="59"/>
    </row>
    <row r="116" spans="1:1" x14ac:dyDescent="0.3">
      <c r="A116" s="59"/>
    </row>
    <row r="117" spans="1:1" x14ac:dyDescent="0.3">
      <c r="A117" s="59"/>
    </row>
    <row r="118" spans="1:1" x14ac:dyDescent="0.3">
      <c r="A118" s="59"/>
    </row>
    <row r="119" spans="1:1" x14ac:dyDescent="0.3">
      <c r="A119" s="59"/>
    </row>
    <row r="120" spans="1:1" x14ac:dyDescent="0.3">
      <c r="A120" s="59"/>
    </row>
    <row r="121" spans="1:1" x14ac:dyDescent="0.3">
      <c r="A121" s="59"/>
    </row>
    <row r="122" spans="1:1" x14ac:dyDescent="0.3">
      <c r="A122" s="59"/>
    </row>
    <row r="123" spans="1:1" x14ac:dyDescent="0.3">
      <c r="A123" s="59"/>
    </row>
    <row r="124" spans="1:1" x14ac:dyDescent="0.3">
      <c r="A124" s="59"/>
    </row>
    <row r="125" spans="1:1" x14ac:dyDescent="0.3">
      <c r="A125" s="59"/>
    </row>
    <row r="126" spans="1:1" x14ac:dyDescent="0.3">
      <c r="A126" s="59"/>
    </row>
    <row r="127" spans="1:1" x14ac:dyDescent="0.3">
      <c r="A127" s="59"/>
    </row>
    <row r="128" spans="1:1" x14ac:dyDescent="0.3">
      <c r="A128" s="59"/>
    </row>
    <row r="129" spans="1:1" x14ac:dyDescent="0.3">
      <c r="A129" s="59"/>
    </row>
    <row r="130" spans="1:1" x14ac:dyDescent="0.3">
      <c r="A130" s="59"/>
    </row>
    <row r="131" spans="1:1" x14ac:dyDescent="0.3">
      <c r="A131" s="59"/>
    </row>
    <row r="132" spans="1:1" x14ac:dyDescent="0.3">
      <c r="A132" s="59"/>
    </row>
    <row r="133" spans="1:1" x14ac:dyDescent="0.3">
      <c r="A133" s="59"/>
    </row>
    <row r="134" spans="1:1" x14ac:dyDescent="0.3">
      <c r="A134" s="59"/>
    </row>
    <row r="135" spans="1:1" x14ac:dyDescent="0.3">
      <c r="A135" s="59"/>
    </row>
    <row r="136" spans="1:1" x14ac:dyDescent="0.3">
      <c r="A136" s="59"/>
    </row>
    <row r="137" spans="1:1" x14ac:dyDescent="0.3">
      <c r="A137" s="59"/>
    </row>
    <row r="138" spans="1:1" x14ac:dyDescent="0.3">
      <c r="A138" s="59"/>
    </row>
    <row r="139" spans="1:1" x14ac:dyDescent="0.3">
      <c r="A139" s="59"/>
    </row>
    <row r="140" spans="1:1" x14ac:dyDescent="0.3">
      <c r="A140" s="59"/>
    </row>
    <row r="141" spans="1:1" x14ac:dyDescent="0.3">
      <c r="A141" s="59"/>
    </row>
    <row r="142" spans="1:1" x14ac:dyDescent="0.3">
      <c r="A142" s="59"/>
    </row>
    <row r="143" spans="1:1" x14ac:dyDescent="0.3">
      <c r="A143" s="59"/>
    </row>
    <row r="144" spans="1:1" x14ac:dyDescent="0.3">
      <c r="A144" s="59"/>
    </row>
    <row r="145" spans="1:1" x14ac:dyDescent="0.3">
      <c r="A145" s="59"/>
    </row>
    <row r="146" spans="1:1" x14ac:dyDescent="0.3">
      <c r="A146" s="59"/>
    </row>
    <row r="147" spans="1:1" x14ac:dyDescent="0.3">
      <c r="A147" s="59"/>
    </row>
    <row r="148" spans="1:1" x14ac:dyDescent="0.3">
      <c r="A148" s="59"/>
    </row>
    <row r="149" spans="1:1" x14ac:dyDescent="0.3">
      <c r="A149" s="59"/>
    </row>
    <row r="150" spans="1:1" x14ac:dyDescent="0.3">
      <c r="A150" s="59"/>
    </row>
    <row r="151" spans="1:1" x14ac:dyDescent="0.3">
      <c r="A151" s="59"/>
    </row>
    <row r="152" spans="1:1" x14ac:dyDescent="0.3">
      <c r="A152" s="59"/>
    </row>
    <row r="153" spans="1:1" x14ac:dyDescent="0.3">
      <c r="A153" s="59"/>
    </row>
    <row r="154" spans="1:1" x14ac:dyDescent="0.3">
      <c r="A154" s="59"/>
    </row>
    <row r="155" spans="1:1" x14ac:dyDescent="0.3">
      <c r="A155" s="59"/>
    </row>
    <row r="156" spans="1:1" x14ac:dyDescent="0.3">
      <c r="A156" s="59"/>
    </row>
    <row r="157" spans="1:1" x14ac:dyDescent="0.3">
      <c r="A157" s="59"/>
    </row>
    <row r="158" spans="1:1" x14ac:dyDescent="0.3">
      <c r="A158" s="59"/>
    </row>
    <row r="159" spans="1:1" x14ac:dyDescent="0.3">
      <c r="A159" s="59"/>
    </row>
    <row r="160" spans="1:1" x14ac:dyDescent="0.3">
      <c r="A160" s="59"/>
    </row>
    <row r="161" spans="1:1" x14ac:dyDescent="0.3">
      <c r="A161" s="59"/>
    </row>
    <row r="162" spans="1:1" x14ac:dyDescent="0.3">
      <c r="A162" s="59"/>
    </row>
    <row r="163" spans="1:1" x14ac:dyDescent="0.3">
      <c r="A163" s="59"/>
    </row>
    <row r="164" spans="1:1" x14ac:dyDescent="0.3">
      <c r="A164" s="59"/>
    </row>
    <row r="165" spans="1:1" x14ac:dyDescent="0.3">
      <c r="A165" s="59"/>
    </row>
    <row r="166" spans="1:1" x14ac:dyDescent="0.3">
      <c r="A166" s="59"/>
    </row>
    <row r="167" spans="1:1" x14ac:dyDescent="0.3">
      <c r="A167" s="59"/>
    </row>
    <row r="168" spans="1:1" x14ac:dyDescent="0.3">
      <c r="A168" s="59"/>
    </row>
    <row r="169" spans="1:1" x14ac:dyDescent="0.3">
      <c r="A169" s="59"/>
    </row>
    <row r="170" spans="1:1" x14ac:dyDescent="0.3">
      <c r="A170" s="59"/>
    </row>
    <row r="171" spans="1:1" x14ac:dyDescent="0.3">
      <c r="A171" s="59"/>
    </row>
    <row r="172" spans="1:1" x14ac:dyDescent="0.3">
      <c r="A172" s="59"/>
    </row>
    <row r="173" spans="1:1" x14ac:dyDescent="0.3">
      <c r="A173" s="59"/>
    </row>
    <row r="174" spans="1:1" x14ac:dyDescent="0.3">
      <c r="A174" s="59"/>
    </row>
    <row r="175" spans="1:1" x14ac:dyDescent="0.3">
      <c r="A175" s="59"/>
    </row>
    <row r="176" spans="1:1" x14ac:dyDescent="0.3">
      <c r="A176" s="59"/>
    </row>
    <row r="177" spans="1:1" x14ac:dyDescent="0.3">
      <c r="A177" s="59"/>
    </row>
    <row r="178" spans="1:1" x14ac:dyDescent="0.3">
      <c r="A178" s="59"/>
    </row>
    <row r="179" spans="1:1" x14ac:dyDescent="0.3">
      <c r="A179" s="59"/>
    </row>
    <row r="180" spans="1:1" x14ac:dyDescent="0.3">
      <c r="A180" s="59"/>
    </row>
    <row r="181" spans="1:1" x14ac:dyDescent="0.3">
      <c r="A181" s="59"/>
    </row>
    <row r="182" spans="1:1" x14ac:dyDescent="0.3">
      <c r="A182" s="59"/>
    </row>
    <row r="183" spans="1:1" x14ac:dyDescent="0.3">
      <c r="A183" s="59"/>
    </row>
    <row r="184" spans="1:1" x14ac:dyDescent="0.3">
      <c r="A184" s="59"/>
    </row>
    <row r="185" spans="1:1" x14ac:dyDescent="0.3">
      <c r="A185" s="59"/>
    </row>
    <row r="186" spans="1:1" x14ac:dyDescent="0.3">
      <c r="A186" s="59"/>
    </row>
    <row r="187" spans="1:1" x14ac:dyDescent="0.3">
      <c r="A187" s="59"/>
    </row>
    <row r="188" spans="1:1" x14ac:dyDescent="0.3">
      <c r="A188" s="59"/>
    </row>
    <row r="189" spans="1:1" x14ac:dyDescent="0.3">
      <c r="A189" s="59"/>
    </row>
    <row r="190" spans="1:1" x14ac:dyDescent="0.3">
      <c r="A190" s="59"/>
    </row>
    <row r="191" spans="1:1" x14ac:dyDescent="0.3">
      <c r="A191" s="59"/>
    </row>
    <row r="192" spans="1:1" x14ac:dyDescent="0.3">
      <c r="A192" s="59"/>
    </row>
    <row r="193" spans="1:1" x14ac:dyDescent="0.3">
      <c r="A193" s="59"/>
    </row>
    <row r="194" spans="1:1" x14ac:dyDescent="0.3">
      <c r="A194" s="59"/>
    </row>
    <row r="195" spans="1:1" x14ac:dyDescent="0.3">
      <c r="A195" s="59"/>
    </row>
    <row r="196" spans="1:1" x14ac:dyDescent="0.3">
      <c r="A196" s="59"/>
    </row>
    <row r="197" spans="1:1" x14ac:dyDescent="0.3">
      <c r="A197" s="59"/>
    </row>
    <row r="198" spans="1:1" x14ac:dyDescent="0.3">
      <c r="A198" s="59"/>
    </row>
    <row r="199" spans="1:1" x14ac:dyDescent="0.3">
      <c r="A199" s="59"/>
    </row>
    <row r="200" spans="1:1" x14ac:dyDescent="0.3">
      <c r="A200" s="59"/>
    </row>
    <row r="201" spans="1:1" x14ac:dyDescent="0.3">
      <c r="A201" s="59"/>
    </row>
    <row r="202" spans="1:1" x14ac:dyDescent="0.3">
      <c r="A202" s="59"/>
    </row>
    <row r="203" spans="1:1" x14ac:dyDescent="0.3">
      <c r="A203" s="59"/>
    </row>
    <row r="204" spans="1:1" x14ac:dyDescent="0.3">
      <c r="A204" s="59"/>
    </row>
    <row r="205" spans="1:1" x14ac:dyDescent="0.3">
      <c r="A205" s="59"/>
    </row>
    <row r="206" spans="1:1" x14ac:dyDescent="0.3">
      <c r="A206" s="59"/>
    </row>
    <row r="207" spans="1:1" x14ac:dyDescent="0.3">
      <c r="A207" s="59"/>
    </row>
    <row r="208" spans="1:1" x14ac:dyDescent="0.3">
      <c r="A208" s="59"/>
    </row>
    <row r="209" spans="1:1" x14ac:dyDescent="0.3">
      <c r="A209" s="59"/>
    </row>
    <row r="210" spans="1:1" x14ac:dyDescent="0.3">
      <c r="A210" s="59"/>
    </row>
    <row r="211" spans="1:1" x14ac:dyDescent="0.3">
      <c r="A211" s="59"/>
    </row>
    <row r="212" spans="1:1" x14ac:dyDescent="0.3">
      <c r="A212" s="59"/>
    </row>
    <row r="213" spans="1:1" x14ac:dyDescent="0.3">
      <c r="A213" s="59"/>
    </row>
    <row r="214" spans="1:1" x14ac:dyDescent="0.3">
      <c r="A214" s="59"/>
    </row>
    <row r="215" spans="1:1" x14ac:dyDescent="0.3">
      <c r="A215" s="59"/>
    </row>
    <row r="216" spans="1:1" x14ac:dyDescent="0.3">
      <c r="A216" s="59"/>
    </row>
    <row r="217" spans="1:1" x14ac:dyDescent="0.3">
      <c r="A217" s="59"/>
    </row>
    <row r="218" spans="1:1" x14ac:dyDescent="0.3">
      <c r="A218" s="59"/>
    </row>
    <row r="219" spans="1:1" x14ac:dyDescent="0.3">
      <c r="A219" s="59"/>
    </row>
    <row r="220" spans="1:1" x14ac:dyDescent="0.3">
      <c r="A220" s="59"/>
    </row>
    <row r="221" spans="1:1" x14ac:dyDescent="0.3">
      <c r="A221" s="59"/>
    </row>
    <row r="222" spans="1:1" x14ac:dyDescent="0.3">
      <c r="A222" s="59"/>
    </row>
    <row r="223" spans="1:1" x14ac:dyDescent="0.3">
      <c r="A223" s="59"/>
    </row>
    <row r="224" spans="1:1" x14ac:dyDescent="0.3">
      <c r="A224" s="59"/>
    </row>
    <row r="225" spans="1:1" x14ac:dyDescent="0.3">
      <c r="A225" s="59"/>
    </row>
    <row r="226" spans="1:1" x14ac:dyDescent="0.3">
      <c r="A226" s="59"/>
    </row>
    <row r="227" spans="1:1" x14ac:dyDescent="0.3">
      <c r="A227" s="59"/>
    </row>
    <row r="228" spans="1:1" x14ac:dyDescent="0.3">
      <c r="A228" s="59"/>
    </row>
    <row r="229" spans="1:1" x14ac:dyDescent="0.3">
      <c r="A229" s="59"/>
    </row>
    <row r="230" spans="1:1" x14ac:dyDescent="0.3">
      <c r="A230" s="59"/>
    </row>
    <row r="231" spans="1:1" x14ac:dyDescent="0.3">
      <c r="A231" s="59"/>
    </row>
    <row r="232" spans="1:1" x14ac:dyDescent="0.3">
      <c r="A232" s="59"/>
    </row>
    <row r="233" spans="1:1" x14ac:dyDescent="0.3">
      <c r="A233" s="59"/>
    </row>
    <row r="234" spans="1:1" x14ac:dyDescent="0.3">
      <c r="A234" s="59"/>
    </row>
    <row r="235" spans="1:1" x14ac:dyDescent="0.3">
      <c r="A235" s="59"/>
    </row>
    <row r="236" spans="1:1" x14ac:dyDescent="0.3">
      <c r="A236" s="59"/>
    </row>
    <row r="237" spans="1:1" x14ac:dyDescent="0.3">
      <c r="A237" s="59"/>
    </row>
    <row r="238" spans="1:1" x14ac:dyDescent="0.3">
      <c r="A238" s="59"/>
    </row>
    <row r="239" spans="1:1" x14ac:dyDescent="0.3">
      <c r="A239" s="59"/>
    </row>
  </sheetData>
  <autoFilter ref="A2:G107" xr:uid="{00000000-0001-0000-0000-000000000000}">
    <sortState xmlns:xlrd2="http://schemas.microsoft.com/office/spreadsheetml/2017/richdata2" ref="A3:G107">
      <sortCondition ref="D3:D107"/>
      <sortCondition ref="B3:B107"/>
      <sortCondition ref="A3:A107"/>
    </sortState>
  </autoFilter>
  <conditionalFormatting sqref="A17">
    <cfRule type="duplicateValues" dxfId="3" priority="3"/>
  </conditionalFormatting>
  <conditionalFormatting sqref="A120">
    <cfRule type="duplicateValues" dxfId="2" priority="1"/>
  </conditionalFormatting>
  <conditionalFormatting sqref="A2:B2 A3:A16 A18:A107">
    <cfRule type="duplicateValues" dxfId="1" priority="4"/>
  </conditionalFormatting>
  <conditionalFormatting sqref="A108:B119 A2:B2 A1 A121:B1048576 B120 A3:A107">
    <cfRule type="duplicateValues" dxfId="0" priority="2"/>
  </conditionalFormatting>
  <pageMargins left="0.7" right="0.7" top="0.75" bottom="0.75" header="0.3" footer="0.3"/>
  <pageSetup paperSize="9" scale="56" orientation="portrait" horizontalDpi="4294967293" verticalDpi="4294967293" r:id="rId1"/>
  <rowBreaks count="1" manualBreakCount="1">
    <brk id="10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81DA-F3D0-4DE5-8FF9-A53727CA4013}">
  <dimension ref="A1:G239"/>
  <sheetViews>
    <sheetView zoomScaleNormal="100" workbookViewId="0">
      <pane ySplit="2" topLeftCell="A3" activePane="bottomLeft" state="frozen"/>
      <selection pane="bottomLeft" activeCell="C20" sqref="C20"/>
    </sheetView>
  </sheetViews>
  <sheetFormatPr defaultColWidth="9.109375" defaultRowHeight="14.4" x14ac:dyDescent="0.3"/>
  <cols>
    <col min="1" max="1" width="18.21875" style="2" bestFit="1" customWidth="1"/>
    <col min="2" max="2" width="14" style="2" customWidth="1"/>
    <col min="3" max="3" width="39.5546875" style="60" bestFit="1" customWidth="1"/>
    <col min="4" max="4" width="14.6640625" style="22" customWidth="1"/>
    <col min="5" max="5" width="13.21875" style="23" customWidth="1"/>
    <col min="6" max="6" width="9.33203125" style="24" customWidth="1"/>
    <col min="7" max="7" width="45.33203125" style="60" bestFit="1" customWidth="1"/>
    <col min="8" max="16384" width="9.109375" style="2"/>
  </cols>
  <sheetData>
    <row r="1" spans="1:7" s="1" customFormat="1" x14ac:dyDescent="0.3">
      <c r="A1" s="37" t="s">
        <v>82</v>
      </c>
      <c r="B1" s="38" t="s">
        <v>303</v>
      </c>
      <c r="C1" s="39" t="s">
        <v>258</v>
      </c>
      <c r="D1" s="38" t="s">
        <v>91</v>
      </c>
      <c r="E1" s="38">
        <v>60</v>
      </c>
      <c r="F1" s="40">
        <v>1.1499999999999999</v>
      </c>
      <c r="G1" s="41"/>
    </row>
    <row r="2" spans="1:7" s="47" customFormat="1" ht="13.8" x14ac:dyDescent="0.3">
      <c r="A2" s="42" t="s">
        <v>0</v>
      </c>
      <c r="B2" s="43" t="s">
        <v>83</v>
      </c>
      <c r="C2" s="43" t="s">
        <v>84</v>
      </c>
      <c r="D2" s="43" t="s">
        <v>79</v>
      </c>
      <c r="E2" s="44" t="s">
        <v>80</v>
      </c>
      <c r="F2" s="45" t="s">
        <v>92</v>
      </c>
      <c r="G2" s="46" t="s">
        <v>259</v>
      </c>
    </row>
    <row r="3" spans="1:7" x14ac:dyDescent="0.3">
      <c r="A3" s="48" t="s">
        <v>23</v>
      </c>
      <c r="B3" s="4" t="s">
        <v>87</v>
      </c>
      <c r="C3" s="49" t="s">
        <v>177</v>
      </c>
      <c r="D3" s="50">
        <v>12.9</v>
      </c>
      <c r="E3" s="17">
        <f t="shared" ref="E3:E34" si="0">ROUNDDOWN(+D3*EURKUR,-1)</f>
        <v>770</v>
      </c>
      <c r="F3" s="30">
        <f t="shared" ref="F3:F66" si="1">+D3*$F$1</f>
        <v>14.834999999999999</v>
      </c>
      <c r="G3" s="51" t="s">
        <v>93</v>
      </c>
    </row>
    <row r="4" spans="1:7" x14ac:dyDescent="0.3">
      <c r="A4" s="48" t="s">
        <v>45</v>
      </c>
      <c r="B4" s="4" t="s">
        <v>87</v>
      </c>
      <c r="C4" s="49" t="s">
        <v>178</v>
      </c>
      <c r="D4" s="50">
        <v>12.9</v>
      </c>
      <c r="E4" s="17">
        <f t="shared" si="0"/>
        <v>770</v>
      </c>
      <c r="F4" s="30">
        <f t="shared" si="1"/>
        <v>14.834999999999999</v>
      </c>
      <c r="G4" s="51" t="s">
        <v>94</v>
      </c>
    </row>
    <row r="5" spans="1:7" x14ac:dyDescent="0.3">
      <c r="A5" s="48" t="s">
        <v>304</v>
      </c>
      <c r="B5" s="4" t="s">
        <v>87</v>
      </c>
      <c r="C5" s="49" t="s">
        <v>305</v>
      </c>
      <c r="D5" s="50">
        <v>12.9</v>
      </c>
      <c r="E5" s="17">
        <f t="shared" si="0"/>
        <v>770</v>
      </c>
      <c r="F5" s="30">
        <f t="shared" si="1"/>
        <v>14.834999999999999</v>
      </c>
      <c r="G5" s="51" t="s">
        <v>306</v>
      </c>
    </row>
    <row r="6" spans="1:7" x14ac:dyDescent="0.3">
      <c r="A6" s="48" t="s">
        <v>14</v>
      </c>
      <c r="B6" s="4" t="s">
        <v>87</v>
      </c>
      <c r="C6" s="49" t="s">
        <v>186</v>
      </c>
      <c r="D6" s="50">
        <v>29.9</v>
      </c>
      <c r="E6" s="17">
        <f t="shared" si="0"/>
        <v>1790</v>
      </c>
      <c r="F6" s="30">
        <f t="shared" si="1"/>
        <v>34.384999999999998</v>
      </c>
      <c r="G6" s="51" t="s">
        <v>102</v>
      </c>
    </row>
    <row r="7" spans="1:7" x14ac:dyDescent="0.3">
      <c r="A7" s="48" t="s">
        <v>47</v>
      </c>
      <c r="B7" s="4" t="s">
        <v>87</v>
      </c>
      <c r="C7" s="49" t="s">
        <v>188</v>
      </c>
      <c r="D7" s="50">
        <v>29.9</v>
      </c>
      <c r="E7" s="17">
        <f t="shared" si="0"/>
        <v>1790</v>
      </c>
      <c r="F7" s="30">
        <f t="shared" si="1"/>
        <v>34.384999999999998</v>
      </c>
      <c r="G7" s="51" t="s">
        <v>104</v>
      </c>
    </row>
    <row r="8" spans="1:7" x14ac:dyDescent="0.3">
      <c r="A8" s="48" t="s">
        <v>15</v>
      </c>
      <c r="B8" s="4" t="s">
        <v>87</v>
      </c>
      <c r="C8" s="49" t="s">
        <v>262</v>
      </c>
      <c r="D8" s="50">
        <v>34.9</v>
      </c>
      <c r="E8" s="17">
        <f t="shared" si="0"/>
        <v>2090</v>
      </c>
      <c r="F8" s="30">
        <f t="shared" si="1"/>
        <v>40.134999999999998</v>
      </c>
      <c r="G8" s="51" t="s">
        <v>99</v>
      </c>
    </row>
    <row r="9" spans="1:7" x14ac:dyDescent="0.3">
      <c r="A9" s="48" t="s">
        <v>28</v>
      </c>
      <c r="B9" s="4" t="s">
        <v>87</v>
      </c>
      <c r="C9" s="49" t="s">
        <v>264</v>
      </c>
      <c r="D9" s="50">
        <v>34.9</v>
      </c>
      <c r="E9" s="17">
        <f t="shared" si="0"/>
        <v>2090</v>
      </c>
      <c r="F9" s="30">
        <f t="shared" si="1"/>
        <v>40.134999999999998</v>
      </c>
      <c r="G9" s="51" t="s">
        <v>103</v>
      </c>
    </row>
    <row r="10" spans="1:7" x14ac:dyDescent="0.3">
      <c r="A10" s="48" t="s">
        <v>33</v>
      </c>
      <c r="B10" s="4" t="s">
        <v>87</v>
      </c>
      <c r="C10" s="49" t="s">
        <v>263</v>
      </c>
      <c r="D10" s="50">
        <v>34.9</v>
      </c>
      <c r="E10" s="17">
        <f t="shared" si="0"/>
        <v>2090</v>
      </c>
      <c r="F10" s="30">
        <f t="shared" si="1"/>
        <v>40.134999999999998</v>
      </c>
      <c r="G10" s="51" t="s">
        <v>100</v>
      </c>
    </row>
    <row r="11" spans="1:7" x14ac:dyDescent="0.3">
      <c r="A11" s="48" t="s">
        <v>11</v>
      </c>
      <c r="B11" s="4" t="s">
        <v>87</v>
      </c>
      <c r="C11" s="49" t="s">
        <v>185</v>
      </c>
      <c r="D11" s="50">
        <v>39.9</v>
      </c>
      <c r="E11" s="17">
        <f t="shared" si="0"/>
        <v>2390</v>
      </c>
      <c r="F11" s="30">
        <f t="shared" si="1"/>
        <v>45.884999999999998</v>
      </c>
      <c r="G11" s="51" t="s">
        <v>101</v>
      </c>
    </row>
    <row r="12" spans="1:7" x14ac:dyDescent="0.3">
      <c r="A12" s="48" t="s">
        <v>307</v>
      </c>
      <c r="B12" s="4" t="s">
        <v>87</v>
      </c>
      <c r="C12" s="49" t="s">
        <v>266</v>
      </c>
      <c r="D12" s="50">
        <v>39.9</v>
      </c>
      <c r="E12" s="17">
        <f t="shared" si="0"/>
        <v>2390</v>
      </c>
      <c r="F12" s="30">
        <f t="shared" si="1"/>
        <v>45.884999999999998</v>
      </c>
      <c r="G12" s="51" t="s">
        <v>106</v>
      </c>
    </row>
    <row r="13" spans="1:7" x14ac:dyDescent="0.3">
      <c r="A13" s="48" t="s">
        <v>81</v>
      </c>
      <c r="B13" s="4" t="s">
        <v>87</v>
      </c>
      <c r="C13" s="49" t="s">
        <v>195</v>
      </c>
      <c r="D13" s="50">
        <v>39.9</v>
      </c>
      <c r="E13" s="17">
        <f t="shared" si="0"/>
        <v>2390</v>
      </c>
      <c r="F13" s="30">
        <f t="shared" si="1"/>
        <v>45.884999999999998</v>
      </c>
      <c r="G13" s="51" t="s">
        <v>113</v>
      </c>
    </row>
    <row r="14" spans="1:7" x14ac:dyDescent="0.3">
      <c r="A14" s="48" t="s">
        <v>62</v>
      </c>
      <c r="B14" s="4" t="s">
        <v>87</v>
      </c>
      <c r="C14" s="49" t="s">
        <v>266</v>
      </c>
      <c r="D14" s="50">
        <v>39.9</v>
      </c>
      <c r="E14" s="17">
        <f t="shared" si="0"/>
        <v>2390</v>
      </c>
      <c r="F14" s="30">
        <f t="shared" si="1"/>
        <v>45.884999999999998</v>
      </c>
      <c r="G14" s="51" t="s">
        <v>106</v>
      </c>
    </row>
    <row r="15" spans="1:7" x14ac:dyDescent="0.3">
      <c r="A15" s="48" t="s">
        <v>71</v>
      </c>
      <c r="B15" s="4" t="s">
        <v>87</v>
      </c>
      <c r="C15" s="53" t="s">
        <v>265</v>
      </c>
      <c r="D15" s="50">
        <v>39.9</v>
      </c>
      <c r="E15" s="17">
        <f t="shared" si="0"/>
        <v>2390</v>
      </c>
      <c r="F15" s="30">
        <f t="shared" si="1"/>
        <v>45.884999999999998</v>
      </c>
      <c r="G15" s="51" t="s">
        <v>110</v>
      </c>
    </row>
    <row r="16" spans="1:7" x14ac:dyDescent="0.3">
      <c r="A16" s="48" t="s">
        <v>49</v>
      </c>
      <c r="B16" s="4" t="s">
        <v>89</v>
      </c>
      <c r="C16" s="49" t="s">
        <v>189</v>
      </c>
      <c r="D16" s="50">
        <v>39.9</v>
      </c>
      <c r="E16" s="17">
        <f t="shared" si="0"/>
        <v>2390</v>
      </c>
      <c r="F16" s="30">
        <f t="shared" si="1"/>
        <v>45.884999999999998</v>
      </c>
      <c r="G16" s="51" t="s">
        <v>105</v>
      </c>
    </row>
    <row r="17" spans="1:7" x14ac:dyDescent="0.3">
      <c r="A17" s="48" t="s">
        <v>50</v>
      </c>
      <c r="B17" s="4" t="s">
        <v>89</v>
      </c>
      <c r="C17" s="49" t="s">
        <v>189</v>
      </c>
      <c r="D17" s="50">
        <v>39.9</v>
      </c>
      <c r="E17" s="17">
        <f t="shared" si="0"/>
        <v>2390</v>
      </c>
      <c r="F17" s="30">
        <f t="shared" si="1"/>
        <v>45.884999999999998</v>
      </c>
      <c r="G17" s="51" t="s">
        <v>105</v>
      </c>
    </row>
    <row r="18" spans="1:7" x14ac:dyDescent="0.3">
      <c r="A18" s="48" t="s">
        <v>64</v>
      </c>
      <c r="B18" s="4" t="s">
        <v>87</v>
      </c>
      <c r="C18" s="49" t="s">
        <v>191</v>
      </c>
      <c r="D18" s="50">
        <v>49.9</v>
      </c>
      <c r="E18" s="17">
        <f t="shared" si="0"/>
        <v>2990</v>
      </c>
      <c r="F18" s="30">
        <f t="shared" si="1"/>
        <v>57.384999999999991</v>
      </c>
      <c r="G18" s="51" t="s">
        <v>107</v>
      </c>
    </row>
    <row r="19" spans="1:7" x14ac:dyDescent="0.3">
      <c r="A19" s="48" t="s">
        <v>108</v>
      </c>
      <c r="B19" s="4" t="s">
        <v>87</v>
      </c>
      <c r="C19" s="49" t="s">
        <v>192</v>
      </c>
      <c r="D19" s="50">
        <v>49.9</v>
      </c>
      <c r="E19" s="17">
        <f t="shared" si="0"/>
        <v>2990</v>
      </c>
      <c r="F19" s="30">
        <f t="shared" si="1"/>
        <v>57.384999999999991</v>
      </c>
      <c r="G19" s="51" t="s">
        <v>109</v>
      </c>
    </row>
    <row r="20" spans="1:7" x14ac:dyDescent="0.3">
      <c r="A20" s="48" t="s">
        <v>67</v>
      </c>
      <c r="B20" s="4" t="s">
        <v>87</v>
      </c>
      <c r="C20" s="49" t="s">
        <v>192</v>
      </c>
      <c r="D20" s="50">
        <v>49.9</v>
      </c>
      <c r="E20" s="17">
        <f t="shared" si="0"/>
        <v>2990</v>
      </c>
      <c r="F20" s="30">
        <f t="shared" si="1"/>
        <v>57.384999999999991</v>
      </c>
      <c r="G20" s="51" t="s">
        <v>109</v>
      </c>
    </row>
    <row r="21" spans="1:7" x14ac:dyDescent="0.3">
      <c r="A21" s="48" t="s">
        <v>111</v>
      </c>
      <c r="B21" s="4" t="s">
        <v>89</v>
      </c>
      <c r="C21" s="49" t="s">
        <v>194</v>
      </c>
      <c r="D21" s="50">
        <v>49.9</v>
      </c>
      <c r="E21" s="17">
        <f t="shared" si="0"/>
        <v>2990</v>
      </c>
      <c r="F21" s="30">
        <f t="shared" si="1"/>
        <v>57.384999999999991</v>
      </c>
      <c r="G21" s="51" t="s">
        <v>112</v>
      </c>
    </row>
    <row r="22" spans="1:7" x14ac:dyDescent="0.3">
      <c r="A22" s="48" t="s">
        <v>85</v>
      </c>
      <c r="B22" s="4" t="s">
        <v>89</v>
      </c>
      <c r="C22" s="49" t="s">
        <v>194</v>
      </c>
      <c r="D22" s="50">
        <v>49.9</v>
      </c>
      <c r="E22" s="17">
        <f t="shared" si="0"/>
        <v>2990</v>
      </c>
      <c r="F22" s="30">
        <f t="shared" si="1"/>
        <v>57.384999999999991</v>
      </c>
      <c r="G22" s="51" t="s">
        <v>112</v>
      </c>
    </row>
    <row r="23" spans="1:7" x14ac:dyDescent="0.3">
      <c r="A23" s="48" t="s">
        <v>56</v>
      </c>
      <c r="B23" s="4" t="s">
        <v>88</v>
      </c>
      <c r="C23" s="49" t="s">
        <v>196</v>
      </c>
      <c r="D23" s="50">
        <v>49.9</v>
      </c>
      <c r="E23" s="17">
        <f t="shared" si="0"/>
        <v>2990</v>
      </c>
      <c r="F23" s="30">
        <f t="shared" si="1"/>
        <v>57.384999999999991</v>
      </c>
      <c r="G23" s="51" t="s">
        <v>267</v>
      </c>
    </row>
    <row r="24" spans="1:7" x14ac:dyDescent="0.3">
      <c r="A24" s="48" t="s">
        <v>308</v>
      </c>
      <c r="B24" s="4" t="s">
        <v>87</v>
      </c>
      <c r="C24" s="49" t="s">
        <v>192</v>
      </c>
      <c r="D24" s="50">
        <v>59.9</v>
      </c>
      <c r="E24" s="17">
        <f t="shared" si="0"/>
        <v>3590</v>
      </c>
      <c r="F24" s="30">
        <f t="shared" si="1"/>
        <v>68.884999999999991</v>
      </c>
      <c r="G24" s="51" t="s">
        <v>109</v>
      </c>
    </row>
    <row r="25" spans="1:7" x14ac:dyDescent="0.3">
      <c r="A25" s="48" t="s">
        <v>20</v>
      </c>
      <c r="B25" s="4" t="s">
        <v>88</v>
      </c>
      <c r="C25" s="49" t="s">
        <v>199</v>
      </c>
      <c r="D25" s="50">
        <v>59.9</v>
      </c>
      <c r="E25" s="17">
        <f t="shared" si="0"/>
        <v>3590</v>
      </c>
      <c r="F25" s="30">
        <f t="shared" si="1"/>
        <v>68.884999999999991</v>
      </c>
      <c r="G25" s="51" t="s">
        <v>268</v>
      </c>
    </row>
    <row r="26" spans="1:7" x14ac:dyDescent="0.3">
      <c r="A26" s="48" t="s">
        <v>22</v>
      </c>
      <c r="B26" s="4" t="s">
        <v>88</v>
      </c>
      <c r="C26" s="49" t="s">
        <v>200</v>
      </c>
      <c r="D26" s="50">
        <v>59.9</v>
      </c>
      <c r="E26" s="17">
        <f t="shared" si="0"/>
        <v>3590</v>
      </c>
      <c r="F26" s="30">
        <f t="shared" si="1"/>
        <v>68.884999999999991</v>
      </c>
      <c r="G26" s="51" t="s">
        <v>269</v>
      </c>
    </row>
    <row r="27" spans="1:7" x14ac:dyDescent="0.3">
      <c r="A27" s="48" t="s">
        <v>37</v>
      </c>
      <c r="B27" s="4" t="s">
        <v>88</v>
      </c>
      <c r="C27" s="49" t="s">
        <v>202</v>
      </c>
      <c r="D27" s="50">
        <v>59.9</v>
      </c>
      <c r="E27" s="17">
        <f t="shared" si="0"/>
        <v>3590</v>
      </c>
      <c r="F27" s="30">
        <f t="shared" si="1"/>
        <v>68.884999999999991</v>
      </c>
      <c r="G27" s="51" t="s">
        <v>270</v>
      </c>
    </row>
    <row r="28" spans="1:7" x14ac:dyDescent="0.3">
      <c r="A28" s="48" t="s">
        <v>42</v>
      </c>
      <c r="B28" s="4" t="s">
        <v>88</v>
      </c>
      <c r="C28" s="49" t="s">
        <v>200</v>
      </c>
      <c r="D28" s="50">
        <v>59.9</v>
      </c>
      <c r="E28" s="17">
        <f t="shared" si="0"/>
        <v>3590</v>
      </c>
      <c r="F28" s="30">
        <f t="shared" si="1"/>
        <v>68.884999999999991</v>
      </c>
      <c r="G28" s="51" t="s">
        <v>269</v>
      </c>
    </row>
    <row r="29" spans="1:7" x14ac:dyDescent="0.3">
      <c r="A29" s="48" t="s">
        <v>66</v>
      </c>
      <c r="B29" s="4" t="s">
        <v>88</v>
      </c>
      <c r="C29" s="49" t="s">
        <v>205</v>
      </c>
      <c r="D29" s="50">
        <v>59.9</v>
      </c>
      <c r="E29" s="17">
        <f t="shared" si="0"/>
        <v>3590</v>
      </c>
      <c r="F29" s="30">
        <f t="shared" si="1"/>
        <v>68.884999999999991</v>
      </c>
      <c r="G29" s="51" t="s">
        <v>271</v>
      </c>
    </row>
    <row r="30" spans="1:7" x14ac:dyDescent="0.3">
      <c r="A30" s="48" t="s">
        <v>7</v>
      </c>
      <c r="B30" s="4" t="s">
        <v>88</v>
      </c>
      <c r="C30" s="49" t="s">
        <v>206</v>
      </c>
      <c r="D30" s="50">
        <v>69.900000000000006</v>
      </c>
      <c r="E30" s="17">
        <f t="shared" si="0"/>
        <v>4190</v>
      </c>
      <c r="F30" s="30">
        <f t="shared" si="1"/>
        <v>80.385000000000005</v>
      </c>
      <c r="G30" s="51" t="s">
        <v>272</v>
      </c>
    </row>
    <row r="31" spans="1:7" x14ac:dyDescent="0.3">
      <c r="A31" s="48" t="s">
        <v>10</v>
      </c>
      <c r="B31" s="4" t="s">
        <v>88</v>
      </c>
      <c r="C31" s="49" t="s">
        <v>197</v>
      </c>
      <c r="D31" s="50">
        <v>69.900000000000006</v>
      </c>
      <c r="E31" s="17">
        <f t="shared" si="0"/>
        <v>4190</v>
      </c>
      <c r="F31" s="30">
        <f t="shared" si="1"/>
        <v>80.385000000000005</v>
      </c>
      <c r="G31" s="51" t="s">
        <v>115</v>
      </c>
    </row>
    <row r="32" spans="1:7" x14ac:dyDescent="0.3">
      <c r="A32" s="48" t="s">
        <v>13</v>
      </c>
      <c r="B32" s="4" t="s">
        <v>88</v>
      </c>
      <c r="C32" s="49" t="s">
        <v>198</v>
      </c>
      <c r="D32" s="50">
        <v>69.900000000000006</v>
      </c>
      <c r="E32" s="17">
        <f t="shared" si="0"/>
        <v>4190</v>
      </c>
      <c r="F32" s="30">
        <f t="shared" si="1"/>
        <v>80.385000000000005</v>
      </c>
      <c r="G32" s="51" t="s">
        <v>116</v>
      </c>
    </row>
    <row r="33" spans="1:7" x14ac:dyDescent="0.3">
      <c r="A33" s="48" t="s">
        <v>43</v>
      </c>
      <c r="B33" s="4" t="s">
        <v>88</v>
      </c>
      <c r="C33" s="49" t="s">
        <v>203</v>
      </c>
      <c r="D33" s="50">
        <v>69.900000000000006</v>
      </c>
      <c r="E33" s="17">
        <f t="shared" si="0"/>
        <v>4190</v>
      </c>
      <c r="F33" s="30">
        <f t="shared" si="1"/>
        <v>80.385000000000005</v>
      </c>
      <c r="G33" s="51" t="s">
        <v>275</v>
      </c>
    </row>
    <row r="34" spans="1:7" x14ac:dyDescent="0.3">
      <c r="A34" s="48" t="s">
        <v>48</v>
      </c>
      <c r="B34" s="4" t="s">
        <v>88</v>
      </c>
      <c r="C34" s="49" t="s">
        <v>199</v>
      </c>
      <c r="D34" s="50">
        <v>69.900000000000006</v>
      </c>
      <c r="E34" s="17">
        <f t="shared" si="0"/>
        <v>4190</v>
      </c>
      <c r="F34" s="30">
        <f t="shared" si="1"/>
        <v>80.385000000000005</v>
      </c>
      <c r="G34" s="51" t="s">
        <v>268</v>
      </c>
    </row>
    <row r="35" spans="1:7" x14ac:dyDescent="0.3">
      <c r="A35" s="48" t="s">
        <v>52</v>
      </c>
      <c r="B35" s="4" t="s">
        <v>88</v>
      </c>
      <c r="C35" s="49" t="s">
        <v>217</v>
      </c>
      <c r="D35" s="50">
        <v>69.900000000000006</v>
      </c>
      <c r="E35" s="17">
        <f t="shared" ref="E35:E66" si="2">ROUNDDOWN(+D35*EURKUR,-1)</f>
        <v>4190</v>
      </c>
      <c r="F35" s="30">
        <f t="shared" si="1"/>
        <v>80.385000000000005</v>
      </c>
      <c r="G35" s="51" t="s">
        <v>273</v>
      </c>
    </row>
    <row r="36" spans="1:7" x14ac:dyDescent="0.3">
      <c r="A36" s="48" t="s">
        <v>54</v>
      </c>
      <c r="B36" s="4" t="s">
        <v>88</v>
      </c>
      <c r="C36" s="49" t="s">
        <v>218</v>
      </c>
      <c r="D36" s="50">
        <v>69.900000000000006</v>
      </c>
      <c r="E36" s="17">
        <f t="shared" si="2"/>
        <v>4190</v>
      </c>
      <c r="F36" s="30">
        <f t="shared" si="1"/>
        <v>80.385000000000005</v>
      </c>
      <c r="G36" s="51" t="s">
        <v>274</v>
      </c>
    </row>
    <row r="37" spans="1:7" x14ac:dyDescent="0.3">
      <c r="A37" s="48" t="s">
        <v>58</v>
      </c>
      <c r="B37" s="4" t="s">
        <v>88</v>
      </c>
      <c r="C37" s="49" t="s">
        <v>218</v>
      </c>
      <c r="D37" s="50">
        <v>69.900000000000006</v>
      </c>
      <c r="E37" s="17">
        <f t="shared" si="2"/>
        <v>4190</v>
      </c>
      <c r="F37" s="30">
        <f t="shared" si="1"/>
        <v>80.385000000000005</v>
      </c>
      <c r="G37" s="51" t="s">
        <v>274</v>
      </c>
    </row>
    <row r="38" spans="1:7" x14ac:dyDescent="0.3">
      <c r="A38" s="48" t="s">
        <v>68</v>
      </c>
      <c r="B38" s="4" t="s">
        <v>88</v>
      </c>
      <c r="C38" s="49" t="s">
        <v>199</v>
      </c>
      <c r="D38" s="50">
        <v>69.900000000000006</v>
      </c>
      <c r="E38" s="17">
        <f t="shared" si="2"/>
        <v>4190</v>
      </c>
      <c r="F38" s="30">
        <f t="shared" si="1"/>
        <v>80.385000000000005</v>
      </c>
      <c r="G38" s="51" t="s">
        <v>268</v>
      </c>
    </row>
    <row r="39" spans="1:7" x14ac:dyDescent="0.3">
      <c r="A39" s="48" t="s">
        <v>69</v>
      </c>
      <c r="B39" s="4" t="s">
        <v>88</v>
      </c>
      <c r="C39" s="49" t="s">
        <v>199</v>
      </c>
      <c r="D39" s="50">
        <v>69.900000000000006</v>
      </c>
      <c r="E39" s="17">
        <f t="shared" si="2"/>
        <v>4190</v>
      </c>
      <c r="F39" s="30">
        <f t="shared" si="1"/>
        <v>80.385000000000005</v>
      </c>
      <c r="G39" s="51" t="s">
        <v>268</v>
      </c>
    </row>
    <row r="40" spans="1:7" x14ac:dyDescent="0.3">
      <c r="A40" s="48" t="s">
        <v>24</v>
      </c>
      <c r="B40" s="4" t="s">
        <v>89</v>
      </c>
      <c r="C40" s="49" t="s">
        <v>213</v>
      </c>
      <c r="D40" s="50">
        <v>79.900000000000006</v>
      </c>
      <c r="E40" s="17">
        <f t="shared" si="2"/>
        <v>4790</v>
      </c>
      <c r="F40" s="30">
        <f t="shared" si="1"/>
        <v>91.885000000000005</v>
      </c>
      <c r="G40" s="51" t="s">
        <v>130</v>
      </c>
    </row>
    <row r="41" spans="1:7" x14ac:dyDescent="0.3">
      <c r="A41" s="48" t="s">
        <v>131</v>
      </c>
      <c r="B41" s="4" t="s">
        <v>89</v>
      </c>
      <c r="C41" s="49" t="s">
        <v>213</v>
      </c>
      <c r="D41" s="50">
        <v>79.900000000000006</v>
      </c>
      <c r="E41" s="17">
        <f t="shared" si="2"/>
        <v>4790</v>
      </c>
      <c r="F41" s="30">
        <f t="shared" si="1"/>
        <v>91.885000000000005</v>
      </c>
      <c r="G41" s="51" t="s">
        <v>130</v>
      </c>
    </row>
    <row r="42" spans="1:7" x14ac:dyDescent="0.3">
      <c r="A42" s="48" t="s">
        <v>30</v>
      </c>
      <c r="B42" s="4" t="s">
        <v>89</v>
      </c>
      <c r="C42" s="49" t="s">
        <v>201</v>
      </c>
      <c r="D42" s="50">
        <v>79.900000000000006</v>
      </c>
      <c r="E42" s="17">
        <f t="shared" si="2"/>
        <v>4790</v>
      </c>
      <c r="F42" s="30">
        <f t="shared" si="1"/>
        <v>91.885000000000005</v>
      </c>
      <c r="G42" s="51" t="s">
        <v>119</v>
      </c>
    </row>
    <row r="43" spans="1:7" x14ac:dyDescent="0.3">
      <c r="A43" s="48" t="s">
        <v>31</v>
      </c>
      <c r="B43" s="4" t="s">
        <v>89</v>
      </c>
      <c r="C43" s="49" t="s">
        <v>201</v>
      </c>
      <c r="D43" s="50">
        <v>79.900000000000006</v>
      </c>
      <c r="E43" s="17">
        <f t="shared" si="2"/>
        <v>4790</v>
      </c>
      <c r="F43" s="30">
        <f t="shared" si="1"/>
        <v>91.885000000000005</v>
      </c>
      <c r="G43" s="51" t="s">
        <v>120</v>
      </c>
    </row>
    <row r="44" spans="1:7" x14ac:dyDescent="0.3">
      <c r="A44" s="48" t="s">
        <v>123</v>
      </c>
      <c r="B44" s="4" t="s">
        <v>89</v>
      </c>
      <c r="C44" s="49" t="s">
        <v>204</v>
      </c>
      <c r="D44" s="50">
        <v>79.900000000000006</v>
      </c>
      <c r="E44" s="17">
        <f t="shared" si="2"/>
        <v>4790</v>
      </c>
      <c r="F44" s="30">
        <f t="shared" si="1"/>
        <v>91.885000000000005</v>
      </c>
      <c r="G44" s="51" t="s">
        <v>124</v>
      </c>
    </row>
    <row r="45" spans="1:7" x14ac:dyDescent="0.3">
      <c r="A45" s="48" t="s">
        <v>55</v>
      </c>
      <c r="B45" s="4" t="s">
        <v>89</v>
      </c>
      <c r="C45" s="49" t="s">
        <v>204</v>
      </c>
      <c r="D45" s="50">
        <v>79.900000000000006</v>
      </c>
      <c r="E45" s="17">
        <f t="shared" si="2"/>
        <v>4790</v>
      </c>
      <c r="F45" s="30">
        <f t="shared" si="1"/>
        <v>91.885000000000005</v>
      </c>
      <c r="G45" s="51" t="s">
        <v>125</v>
      </c>
    </row>
    <row r="46" spans="1:7" x14ac:dyDescent="0.3">
      <c r="A46" s="48" t="s">
        <v>75</v>
      </c>
      <c r="B46" s="4" t="s">
        <v>89</v>
      </c>
      <c r="C46" s="49" t="s">
        <v>222</v>
      </c>
      <c r="D46" s="50">
        <v>79.900000000000006</v>
      </c>
      <c r="E46" s="17">
        <f t="shared" si="2"/>
        <v>4790</v>
      </c>
      <c r="F46" s="30">
        <f t="shared" si="1"/>
        <v>91.885000000000005</v>
      </c>
      <c r="G46" s="51" t="s">
        <v>142</v>
      </c>
    </row>
    <row r="47" spans="1:7" x14ac:dyDescent="0.3">
      <c r="A47" s="48" t="s">
        <v>143</v>
      </c>
      <c r="B47" s="4" t="s">
        <v>89</v>
      </c>
      <c r="C47" s="49" t="s">
        <v>222</v>
      </c>
      <c r="D47" s="50">
        <v>79.900000000000006</v>
      </c>
      <c r="E47" s="17">
        <f t="shared" si="2"/>
        <v>4790</v>
      </c>
      <c r="F47" s="30">
        <f t="shared" si="1"/>
        <v>91.885000000000005</v>
      </c>
      <c r="G47" s="51" t="s">
        <v>142</v>
      </c>
    </row>
    <row r="48" spans="1:7" x14ac:dyDescent="0.3">
      <c r="A48" s="48" t="s">
        <v>72</v>
      </c>
      <c r="B48" s="4" t="s">
        <v>89</v>
      </c>
      <c r="C48" s="49" t="s">
        <v>221</v>
      </c>
      <c r="D48" s="50">
        <v>89.9</v>
      </c>
      <c r="E48" s="17">
        <f t="shared" si="2"/>
        <v>5390</v>
      </c>
      <c r="F48" s="30">
        <f t="shared" si="1"/>
        <v>103.38500000000001</v>
      </c>
      <c r="G48" s="51" t="s">
        <v>140</v>
      </c>
    </row>
    <row r="49" spans="1:7" x14ac:dyDescent="0.3">
      <c r="A49" s="48" t="s">
        <v>141</v>
      </c>
      <c r="B49" s="4" t="s">
        <v>89</v>
      </c>
      <c r="C49" s="49" t="s">
        <v>221</v>
      </c>
      <c r="D49" s="50">
        <v>89.9</v>
      </c>
      <c r="E49" s="17">
        <f t="shared" si="2"/>
        <v>5390</v>
      </c>
      <c r="F49" s="30">
        <f t="shared" si="1"/>
        <v>103.38500000000001</v>
      </c>
      <c r="G49" s="51" t="s">
        <v>140</v>
      </c>
    </row>
    <row r="50" spans="1:7" x14ac:dyDescent="0.3">
      <c r="A50" s="48" t="s">
        <v>19</v>
      </c>
      <c r="B50" s="4" t="s">
        <v>88</v>
      </c>
      <c r="C50" s="49" t="s">
        <v>207</v>
      </c>
      <c r="D50" s="50">
        <v>89.9</v>
      </c>
      <c r="E50" s="17">
        <f t="shared" si="2"/>
        <v>5390</v>
      </c>
      <c r="F50" s="30">
        <f t="shared" si="1"/>
        <v>103.38500000000001</v>
      </c>
      <c r="G50" s="51" t="s">
        <v>276</v>
      </c>
    </row>
    <row r="51" spans="1:7" x14ac:dyDescent="0.3">
      <c r="A51" s="48" t="s">
        <v>21</v>
      </c>
      <c r="B51" s="4" t="s">
        <v>88</v>
      </c>
      <c r="C51" s="49" t="s">
        <v>210</v>
      </c>
      <c r="D51" s="50">
        <v>89.9</v>
      </c>
      <c r="E51" s="17">
        <f t="shared" si="2"/>
        <v>5390</v>
      </c>
      <c r="F51" s="30">
        <f t="shared" si="1"/>
        <v>103.38500000000001</v>
      </c>
      <c r="G51" s="51" t="s">
        <v>277</v>
      </c>
    </row>
    <row r="52" spans="1:7" x14ac:dyDescent="0.3">
      <c r="A52" s="48" t="s">
        <v>36</v>
      </c>
      <c r="B52" s="4" t="s">
        <v>88</v>
      </c>
      <c r="C52" s="49" t="s">
        <v>215</v>
      </c>
      <c r="D52" s="50">
        <v>89.9</v>
      </c>
      <c r="E52" s="17">
        <f t="shared" si="2"/>
        <v>5390</v>
      </c>
      <c r="F52" s="30">
        <f t="shared" si="1"/>
        <v>103.38500000000001</v>
      </c>
      <c r="G52" s="51" t="s">
        <v>278</v>
      </c>
    </row>
    <row r="53" spans="1:7" x14ac:dyDescent="0.3">
      <c r="A53" s="48" t="s">
        <v>41</v>
      </c>
      <c r="B53" s="4" t="s">
        <v>88</v>
      </c>
      <c r="C53" s="49" t="s">
        <v>210</v>
      </c>
      <c r="D53" s="50">
        <v>89.9</v>
      </c>
      <c r="E53" s="17">
        <f t="shared" si="2"/>
        <v>5390</v>
      </c>
      <c r="F53" s="30">
        <f t="shared" si="1"/>
        <v>103.38500000000001</v>
      </c>
      <c r="G53" s="51" t="s">
        <v>277</v>
      </c>
    </row>
    <row r="54" spans="1:7" x14ac:dyDescent="0.3">
      <c r="A54" s="48" t="s">
        <v>59</v>
      </c>
      <c r="B54" s="4" t="s">
        <v>88</v>
      </c>
      <c r="C54" s="49" t="s">
        <v>219</v>
      </c>
      <c r="D54" s="50">
        <v>89.9</v>
      </c>
      <c r="E54" s="17">
        <f t="shared" si="2"/>
        <v>5390</v>
      </c>
      <c r="F54" s="30">
        <f t="shared" si="1"/>
        <v>103.38500000000001</v>
      </c>
      <c r="G54" s="51" t="s">
        <v>138</v>
      </c>
    </row>
    <row r="55" spans="1:7" x14ac:dyDescent="0.3">
      <c r="A55" s="48" t="s">
        <v>65</v>
      </c>
      <c r="B55" s="4" t="s">
        <v>88</v>
      </c>
      <c r="C55" s="49" t="s">
        <v>220</v>
      </c>
      <c r="D55" s="50">
        <v>89.9</v>
      </c>
      <c r="E55" s="17">
        <f t="shared" si="2"/>
        <v>5390</v>
      </c>
      <c r="F55" s="30">
        <f t="shared" si="1"/>
        <v>103.38500000000001</v>
      </c>
      <c r="G55" s="51" t="s">
        <v>279</v>
      </c>
    </row>
    <row r="56" spans="1:7" x14ac:dyDescent="0.3">
      <c r="A56" s="48" t="s">
        <v>78</v>
      </c>
      <c r="B56" s="4" t="s">
        <v>88</v>
      </c>
      <c r="C56" s="49" t="s">
        <v>210</v>
      </c>
      <c r="D56" s="50">
        <v>89.9</v>
      </c>
      <c r="E56" s="17">
        <f t="shared" si="2"/>
        <v>5390</v>
      </c>
      <c r="F56" s="30">
        <f t="shared" si="1"/>
        <v>103.38500000000001</v>
      </c>
      <c r="G56" s="51" t="s">
        <v>277</v>
      </c>
    </row>
    <row r="57" spans="1:7" x14ac:dyDescent="0.3">
      <c r="A57" s="48" t="s">
        <v>63</v>
      </c>
      <c r="B57" s="4" t="s">
        <v>87</v>
      </c>
      <c r="C57" s="49" t="s">
        <v>242</v>
      </c>
      <c r="D57" s="50">
        <v>99.9</v>
      </c>
      <c r="E57" s="17">
        <f t="shared" si="2"/>
        <v>5990</v>
      </c>
      <c r="F57" s="30">
        <f t="shared" si="1"/>
        <v>114.88499999999999</v>
      </c>
      <c r="G57" s="51" t="s">
        <v>167</v>
      </c>
    </row>
    <row r="58" spans="1:7" x14ac:dyDescent="0.3">
      <c r="A58" s="48" t="s">
        <v>18</v>
      </c>
      <c r="B58" s="4" t="s">
        <v>89</v>
      </c>
      <c r="C58" s="49" t="s">
        <v>237</v>
      </c>
      <c r="D58" s="50">
        <v>99.9</v>
      </c>
      <c r="E58" s="17">
        <f t="shared" si="2"/>
        <v>5990</v>
      </c>
      <c r="F58" s="30">
        <f t="shared" si="1"/>
        <v>114.88499999999999</v>
      </c>
      <c r="G58" s="51" t="s">
        <v>159</v>
      </c>
    </row>
    <row r="59" spans="1:7" x14ac:dyDescent="0.3">
      <c r="A59" s="48" t="s">
        <v>160</v>
      </c>
      <c r="B59" s="4" t="s">
        <v>89</v>
      </c>
      <c r="C59" s="49" t="s">
        <v>237</v>
      </c>
      <c r="D59" s="50">
        <v>99.9</v>
      </c>
      <c r="E59" s="17">
        <f t="shared" si="2"/>
        <v>5990</v>
      </c>
      <c r="F59" s="30">
        <f t="shared" si="1"/>
        <v>114.88499999999999</v>
      </c>
      <c r="G59" s="51" t="s">
        <v>159</v>
      </c>
    </row>
    <row r="60" spans="1:7" x14ac:dyDescent="0.3">
      <c r="A60" s="48" t="s">
        <v>132</v>
      </c>
      <c r="B60" s="4" t="s">
        <v>89</v>
      </c>
      <c r="C60" s="49" t="s">
        <v>214</v>
      </c>
      <c r="D60" s="50">
        <v>99.9</v>
      </c>
      <c r="E60" s="17">
        <f t="shared" si="2"/>
        <v>5990</v>
      </c>
      <c r="F60" s="30">
        <f t="shared" si="1"/>
        <v>114.88499999999999</v>
      </c>
      <c r="G60" s="51" t="s">
        <v>133</v>
      </c>
    </row>
    <row r="61" spans="1:7" x14ac:dyDescent="0.3">
      <c r="A61" s="48" t="s">
        <v>38</v>
      </c>
      <c r="B61" s="4" t="s">
        <v>89</v>
      </c>
      <c r="C61" s="49" t="s">
        <v>216</v>
      </c>
      <c r="D61" s="50">
        <v>99.9</v>
      </c>
      <c r="E61" s="17">
        <f t="shared" si="2"/>
        <v>5990</v>
      </c>
      <c r="F61" s="30">
        <f t="shared" si="1"/>
        <v>114.88499999999999</v>
      </c>
      <c r="G61" s="51" t="s">
        <v>135</v>
      </c>
    </row>
    <row r="62" spans="1:7" x14ac:dyDescent="0.3">
      <c r="A62" s="48" t="s">
        <v>60</v>
      </c>
      <c r="B62" s="4" t="s">
        <v>89</v>
      </c>
      <c r="C62" s="49" t="s">
        <v>240</v>
      </c>
      <c r="D62" s="50">
        <v>99.9</v>
      </c>
      <c r="E62" s="17">
        <f t="shared" si="2"/>
        <v>5990</v>
      </c>
      <c r="F62" s="30">
        <f t="shared" si="1"/>
        <v>114.88499999999999</v>
      </c>
      <c r="G62" s="51" t="s">
        <v>164</v>
      </c>
    </row>
    <row r="63" spans="1:7" x14ac:dyDescent="0.3">
      <c r="A63" s="48" t="s">
        <v>165</v>
      </c>
      <c r="B63" s="4" t="s">
        <v>89</v>
      </c>
      <c r="C63" s="49" t="s">
        <v>240</v>
      </c>
      <c r="D63" s="50">
        <v>99.9</v>
      </c>
      <c r="E63" s="17">
        <f t="shared" si="2"/>
        <v>5990</v>
      </c>
      <c r="F63" s="30">
        <f t="shared" si="1"/>
        <v>114.88499999999999</v>
      </c>
      <c r="G63" s="51" t="s">
        <v>164</v>
      </c>
    </row>
    <row r="64" spans="1:7" x14ac:dyDescent="0.3">
      <c r="A64" s="48" t="s">
        <v>76</v>
      </c>
      <c r="B64" s="4" t="s">
        <v>89</v>
      </c>
      <c r="C64" s="49" t="s">
        <v>236</v>
      </c>
      <c r="D64" s="50">
        <v>99.9</v>
      </c>
      <c r="E64" s="17">
        <f t="shared" si="2"/>
        <v>5990</v>
      </c>
      <c r="F64" s="30">
        <f t="shared" si="1"/>
        <v>114.88499999999999</v>
      </c>
      <c r="G64" s="51" t="s">
        <v>157</v>
      </c>
    </row>
    <row r="65" spans="1:7" x14ac:dyDescent="0.3">
      <c r="A65" s="48" t="s">
        <v>158</v>
      </c>
      <c r="B65" s="4" t="s">
        <v>89</v>
      </c>
      <c r="C65" s="49" t="s">
        <v>236</v>
      </c>
      <c r="D65" s="50">
        <v>99.9</v>
      </c>
      <c r="E65" s="17">
        <f t="shared" si="2"/>
        <v>5990</v>
      </c>
      <c r="F65" s="30">
        <f t="shared" si="1"/>
        <v>114.88499999999999</v>
      </c>
      <c r="G65" s="51" t="s">
        <v>157</v>
      </c>
    </row>
    <row r="66" spans="1:7" x14ac:dyDescent="0.3">
      <c r="A66" s="48" t="s">
        <v>77</v>
      </c>
      <c r="B66" s="4" t="s">
        <v>89</v>
      </c>
      <c r="C66" s="49" t="s">
        <v>238</v>
      </c>
      <c r="D66" s="50">
        <v>99.9</v>
      </c>
      <c r="E66" s="17">
        <f t="shared" si="2"/>
        <v>5990</v>
      </c>
      <c r="F66" s="30">
        <f t="shared" si="1"/>
        <v>114.88499999999999</v>
      </c>
      <c r="G66" s="51" t="s">
        <v>161</v>
      </c>
    </row>
    <row r="67" spans="1:7" x14ac:dyDescent="0.3">
      <c r="A67" s="48" t="s">
        <v>162</v>
      </c>
      <c r="B67" s="4" t="s">
        <v>89</v>
      </c>
      <c r="C67" s="49" t="s">
        <v>238</v>
      </c>
      <c r="D67" s="50">
        <v>99.9</v>
      </c>
      <c r="E67" s="17">
        <f t="shared" ref="E67:E101" si="3">ROUNDDOWN(+D67*EURKUR,-1)</f>
        <v>5990</v>
      </c>
      <c r="F67" s="30">
        <f t="shared" ref="F67:F107" si="4">+D67*$F$1</f>
        <v>114.88499999999999</v>
      </c>
      <c r="G67" s="51" t="s">
        <v>161</v>
      </c>
    </row>
    <row r="68" spans="1:7" x14ac:dyDescent="0.3">
      <c r="A68" s="48" t="s">
        <v>3</v>
      </c>
      <c r="B68" s="4" t="s">
        <v>88</v>
      </c>
      <c r="C68" s="49" t="s">
        <v>223</v>
      </c>
      <c r="D68" s="50">
        <v>99.9</v>
      </c>
      <c r="E68" s="17">
        <f t="shared" si="3"/>
        <v>5990</v>
      </c>
      <c r="F68" s="30">
        <f t="shared" si="4"/>
        <v>114.88499999999999</v>
      </c>
      <c r="G68" s="51" t="s">
        <v>144</v>
      </c>
    </row>
    <row r="69" spans="1:7" x14ac:dyDescent="0.3">
      <c r="A69" s="48" t="s">
        <v>6</v>
      </c>
      <c r="B69" s="4" t="s">
        <v>88</v>
      </c>
      <c r="C69" s="49" t="s">
        <v>224</v>
      </c>
      <c r="D69" s="50">
        <v>99.9</v>
      </c>
      <c r="E69" s="17">
        <f t="shared" si="3"/>
        <v>5990</v>
      </c>
      <c r="F69" s="30">
        <f t="shared" si="4"/>
        <v>114.88499999999999</v>
      </c>
      <c r="G69" s="51" t="s">
        <v>282</v>
      </c>
    </row>
    <row r="70" spans="1:7" x14ac:dyDescent="0.3">
      <c r="A70" s="48" t="s">
        <v>8</v>
      </c>
      <c r="B70" s="4" t="s">
        <v>88</v>
      </c>
      <c r="C70" s="49" t="s">
        <v>225</v>
      </c>
      <c r="D70" s="50">
        <v>99.9</v>
      </c>
      <c r="E70" s="17">
        <f t="shared" si="3"/>
        <v>5990</v>
      </c>
      <c r="F70" s="30">
        <f t="shared" si="4"/>
        <v>114.88499999999999</v>
      </c>
      <c r="G70" s="51" t="s">
        <v>146</v>
      </c>
    </row>
    <row r="71" spans="1:7" x14ac:dyDescent="0.3">
      <c r="A71" s="48" t="s">
        <v>12</v>
      </c>
      <c r="B71" s="4" t="s">
        <v>88</v>
      </c>
      <c r="C71" s="49" t="s">
        <v>226</v>
      </c>
      <c r="D71" s="50">
        <v>99.9</v>
      </c>
      <c r="E71" s="17">
        <f t="shared" si="3"/>
        <v>5990</v>
      </c>
      <c r="F71" s="30">
        <f t="shared" si="4"/>
        <v>114.88499999999999</v>
      </c>
      <c r="G71" s="51" t="s">
        <v>147</v>
      </c>
    </row>
    <row r="72" spans="1:7" x14ac:dyDescent="0.3">
      <c r="A72" s="48" t="s">
        <v>16</v>
      </c>
      <c r="B72" s="4" t="s">
        <v>88</v>
      </c>
      <c r="C72" s="49" t="s">
        <v>227</v>
      </c>
      <c r="D72" s="50">
        <v>99.9</v>
      </c>
      <c r="E72" s="17">
        <f t="shared" si="3"/>
        <v>5990</v>
      </c>
      <c r="F72" s="30">
        <f t="shared" si="4"/>
        <v>114.88499999999999</v>
      </c>
      <c r="G72" s="51" t="s">
        <v>148</v>
      </c>
    </row>
    <row r="73" spans="1:7" x14ac:dyDescent="0.3">
      <c r="A73" s="48" t="s">
        <v>17</v>
      </c>
      <c r="B73" s="4" t="s">
        <v>88</v>
      </c>
      <c r="C73" s="49" t="s">
        <v>228</v>
      </c>
      <c r="D73" s="50">
        <v>99.9</v>
      </c>
      <c r="E73" s="17">
        <f t="shared" si="3"/>
        <v>5990</v>
      </c>
      <c r="F73" s="30">
        <f t="shared" si="4"/>
        <v>114.88499999999999</v>
      </c>
      <c r="G73" s="51" t="s">
        <v>283</v>
      </c>
    </row>
    <row r="74" spans="1:7" x14ac:dyDescent="0.3">
      <c r="A74" s="48" t="s">
        <v>208</v>
      </c>
      <c r="B74" s="4" t="s">
        <v>88</v>
      </c>
      <c r="C74" s="49" t="s">
        <v>209</v>
      </c>
      <c r="D74" s="50">
        <v>99.9</v>
      </c>
      <c r="E74" s="17">
        <f t="shared" si="3"/>
        <v>5990</v>
      </c>
      <c r="F74" s="30">
        <f t="shared" si="4"/>
        <v>114.88499999999999</v>
      </c>
      <c r="G74" s="51" t="s">
        <v>280</v>
      </c>
    </row>
    <row r="75" spans="1:7" x14ac:dyDescent="0.3">
      <c r="A75" s="48" t="s">
        <v>211</v>
      </c>
      <c r="B75" s="4" t="s">
        <v>88</v>
      </c>
      <c r="C75" s="49" t="s">
        <v>212</v>
      </c>
      <c r="D75" s="50">
        <v>99.9</v>
      </c>
      <c r="E75" s="17">
        <f t="shared" si="3"/>
        <v>5990</v>
      </c>
      <c r="F75" s="30">
        <f t="shared" si="4"/>
        <v>114.88499999999999</v>
      </c>
      <c r="G75" s="51" t="s">
        <v>281</v>
      </c>
    </row>
    <row r="76" spans="1:7" x14ac:dyDescent="0.3">
      <c r="A76" s="48" t="s">
        <v>26</v>
      </c>
      <c r="B76" s="4" t="s">
        <v>88</v>
      </c>
      <c r="C76" s="49" t="s">
        <v>229</v>
      </c>
      <c r="D76" s="50">
        <v>99.9</v>
      </c>
      <c r="E76" s="17">
        <f t="shared" si="3"/>
        <v>5990</v>
      </c>
      <c r="F76" s="30">
        <f t="shared" si="4"/>
        <v>114.88499999999999</v>
      </c>
      <c r="G76" s="51" t="s">
        <v>284</v>
      </c>
    </row>
    <row r="77" spans="1:7" x14ac:dyDescent="0.3">
      <c r="A77" s="48" t="s">
        <v>35</v>
      </c>
      <c r="B77" s="4" t="s">
        <v>88</v>
      </c>
      <c r="C77" s="49" t="s">
        <v>239</v>
      </c>
      <c r="D77" s="50">
        <v>99.9</v>
      </c>
      <c r="E77" s="17">
        <f t="shared" si="3"/>
        <v>5990</v>
      </c>
      <c r="F77" s="30">
        <f t="shared" si="4"/>
        <v>114.88499999999999</v>
      </c>
      <c r="G77" s="51" t="s">
        <v>163</v>
      </c>
    </row>
    <row r="78" spans="1:7" x14ac:dyDescent="0.3">
      <c r="A78" s="48" t="s">
        <v>44</v>
      </c>
      <c r="B78" s="4" t="s">
        <v>88</v>
      </c>
      <c r="C78" s="49" t="s">
        <v>233</v>
      </c>
      <c r="D78" s="50">
        <v>99.9</v>
      </c>
      <c r="E78" s="17">
        <f t="shared" si="3"/>
        <v>5990</v>
      </c>
      <c r="F78" s="30">
        <f t="shared" si="4"/>
        <v>114.88499999999999</v>
      </c>
      <c r="G78" s="51" t="s">
        <v>154</v>
      </c>
    </row>
    <row r="79" spans="1:7" x14ac:dyDescent="0.3">
      <c r="A79" s="48" t="s">
        <v>46</v>
      </c>
      <c r="B79" s="4" t="s">
        <v>88</v>
      </c>
      <c r="C79" s="49" t="s">
        <v>228</v>
      </c>
      <c r="D79" s="50">
        <v>99.9</v>
      </c>
      <c r="E79" s="17">
        <f t="shared" si="3"/>
        <v>5990</v>
      </c>
      <c r="F79" s="30">
        <f t="shared" si="4"/>
        <v>114.88499999999999</v>
      </c>
      <c r="G79" s="51" t="s">
        <v>283</v>
      </c>
    </row>
    <row r="80" spans="1:7" x14ac:dyDescent="0.3">
      <c r="A80" s="48" t="s">
        <v>51</v>
      </c>
      <c r="B80" s="4" t="s">
        <v>88</v>
      </c>
      <c r="C80" s="49" t="s">
        <v>234</v>
      </c>
      <c r="D80" s="50">
        <v>99.9</v>
      </c>
      <c r="E80" s="17">
        <f t="shared" si="3"/>
        <v>5990</v>
      </c>
      <c r="F80" s="30">
        <f t="shared" si="4"/>
        <v>114.88499999999999</v>
      </c>
      <c r="G80" s="51" t="s">
        <v>285</v>
      </c>
    </row>
    <row r="81" spans="1:7" x14ac:dyDescent="0.3">
      <c r="A81" s="48" t="s">
        <v>53</v>
      </c>
      <c r="B81" s="4" t="s">
        <v>88</v>
      </c>
      <c r="C81" s="49" t="s">
        <v>235</v>
      </c>
      <c r="D81" s="50">
        <v>99.9</v>
      </c>
      <c r="E81" s="17">
        <f t="shared" si="3"/>
        <v>5990</v>
      </c>
      <c r="F81" s="30">
        <f t="shared" si="4"/>
        <v>114.88499999999999</v>
      </c>
      <c r="G81" s="51" t="s">
        <v>286</v>
      </c>
    </row>
    <row r="82" spans="1:7" x14ac:dyDescent="0.3">
      <c r="A82" s="48" t="s">
        <v>57</v>
      </c>
      <c r="B82" s="4" t="s">
        <v>88</v>
      </c>
      <c r="C82" s="49" t="s">
        <v>235</v>
      </c>
      <c r="D82" s="50">
        <v>99.9</v>
      </c>
      <c r="E82" s="17">
        <f t="shared" si="3"/>
        <v>5990</v>
      </c>
      <c r="F82" s="30">
        <f t="shared" si="4"/>
        <v>114.88499999999999</v>
      </c>
      <c r="G82" s="51" t="s">
        <v>286</v>
      </c>
    </row>
    <row r="83" spans="1:7" x14ac:dyDescent="0.3">
      <c r="A83" s="48" t="s">
        <v>74</v>
      </c>
      <c r="B83" s="4" t="s">
        <v>88</v>
      </c>
      <c r="C83" s="49" t="s">
        <v>207</v>
      </c>
      <c r="D83" s="50">
        <v>99.9</v>
      </c>
      <c r="E83" s="17">
        <f t="shared" si="3"/>
        <v>5990</v>
      </c>
      <c r="F83" s="30">
        <f t="shared" si="4"/>
        <v>114.88499999999999</v>
      </c>
      <c r="G83" s="51" t="s">
        <v>276</v>
      </c>
    </row>
    <row r="84" spans="1:7" x14ac:dyDescent="0.3">
      <c r="A84" s="48" t="s">
        <v>4</v>
      </c>
      <c r="B84" s="4" t="s">
        <v>88</v>
      </c>
      <c r="C84" s="49" t="s">
        <v>241</v>
      </c>
      <c r="D84" s="50">
        <v>109.9</v>
      </c>
      <c r="E84" s="17">
        <f t="shared" si="3"/>
        <v>6590</v>
      </c>
      <c r="F84" s="30">
        <f t="shared" si="4"/>
        <v>126.38499999999999</v>
      </c>
      <c r="G84" s="51" t="s">
        <v>166</v>
      </c>
    </row>
    <row r="85" spans="1:7" x14ac:dyDescent="0.3">
      <c r="A85" s="48" t="s">
        <v>309</v>
      </c>
      <c r="B85" s="4" t="s">
        <v>88</v>
      </c>
      <c r="C85" s="49" t="s">
        <v>310</v>
      </c>
      <c r="D85" s="50">
        <v>109.9</v>
      </c>
      <c r="E85" s="17">
        <f t="shared" si="3"/>
        <v>6590</v>
      </c>
      <c r="F85" s="30">
        <f t="shared" si="4"/>
        <v>126.38499999999999</v>
      </c>
      <c r="G85" s="51" t="s">
        <v>311</v>
      </c>
    </row>
    <row r="86" spans="1:7" x14ac:dyDescent="0.3">
      <c r="A86" s="48" t="s">
        <v>312</v>
      </c>
      <c r="B86" s="4" t="s">
        <v>88</v>
      </c>
      <c r="C86" s="49" t="s">
        <v>313</v>
      </c>
      <c r="D86" s="50">
        <v>109.9</v>
      </c>
      <c r="E86" s="17">
        <f t="shared" si="3"/>
        <v>6590</v>
      </c>
      <c r="F86" s="30">
        <f t="shared" si="4"/>
        <v>126.38499999999999</v>
      </c>
      <c r="G86" s="51" t="s">
        <v>314</v>
      </c>
    </row>
    <row r="87" spans="1:7" x14ac:dyDescent="0.3">
      <c r="A87" s="48" t="s">
        <v>73</v>
      </c>
      <c r="B87" s="4" t="s">
        <v>88</v>
      </c>
      <c r="C87" s="49" t="s">
        <v>207</v>
      </c>
      <c r="D87" s="50">
        <v>109.9</v>
      </c>
      <c r="E87" s="17">
        <f t="shared" si="3"/>
        <v>6590</v>
      </c>
      <c r="F87" s="30">
        <f t="shared" si="4"/>
        <v>126.38499999999999</v>
      </c>
      <c r="G87" s="51" t="s">
        <v>276</v>
      </c>
    </row>
    <row r="88" spans="1:7" x14ac:dyDescent="0.3">
      <c r="A88" s="48" t="s">
        <v>34</v>
      </c>
      <c r="B88" s="4" t="s">
        <v>88</v>
      </c>
      <c r="C88" s="49" t="s">
        <v>230</v>
      </c>
      <c r="D88" s="50">
        <v>129.9</v>
      </c>
      <c r="E88" s="17">
        <f t="shared" si="3"/>
        <v>7790</v>
      </c>
      <c r="F88" s="30">
        <f t="shared" si="4"/>
        <v>149.38499999999999</v>
      </c>
      <c r="G88" s="51" t="s">
        <v>287</v>
      </c>
    </row>
    <row r="89" spans="1:7" x14ac:dyDescent="0.3">
      <c r="A89" s="48" t="s">
        <v>315</v>
      </c>
      <c r="B89" s="4" t="s">
        <v>88</v>
      </c>
      <c r="C89" s="49" t="s">
        <v>316</v>
      </c>
      <c r="D89" s="50">
        <v>129.9</v>
      </c>
      <c r="E89" s="17">
        <f t="shared" si="3"/>
        <v>7790</v>
      </c>
      <c r="F89" s="30">
        <f t="shared" si="4"/>
        <v>149.38499999999999</v>
      </c>
      <c r="G89" s="51" t="s">
        <v>317</v>
      </c>
    </row>
    <row r="90" spans="1:7" x14ac:dyDescent="0.3">
      <c r="A90" s="48" t="s">
        <v>39</v>
      </c>
      <c r="B90" s="4" t="s">
        <v>88</v>
      </c>
      <c r="C90" s="49" t="s">
        <v>231</v>
      </c>
      <c r="D90" s="50">
        <v>129.9</v>
      </c>
      <c r="E90" s="17">
        <f t="shared" si="3"/>
        <v>7790</v>
      </c>
      <c r="F90" s="30">
        <f t="shared" si="4"/>
        <v>149.38499999999999</v>
      </c>
      <c r="G90" s="51" t="s">
        <v>152</v>
      </c>
    </row>
    <row r="91" spans="1:7" x14ac:dyDescent="0.3">
      <c r="A91" s="48" t="s">
        <v>318</v>
      </c>
      <c r="B91" s="4" t="s">
        <v>88</v>
      </c>
      <c r="C91" s="49" t="s">
        <v>232</v>
      </c>
      <c r="D91" s="50">
        <v>129.9</v>
      </c>
      <c r="E91" s="17">
        <f t="shared" si="3"/>
        <v>7790</v>
      </c>
      <c r="F91" s="30">
        <f t="shared" si="4"/>
        <v>149.38499999999999</v>
      </c>
      <c r="G91" s="51" t="s">
        <v>288</v>
      </c>
    </row>
    <row r="92" spans="1:7" x14ac:dyDescent="0.3">
      <c r="A92" s="48" t="s">
        <v>319</v>
      </c>
      <c r="B92" s="4" t="s">
        <v>88</v>
      </c>
      <c r="C92" s="49" t="s">
        <v>232</v>
      </c>
      <c r="D92" s="50">
        <v>129.9</v>
      </c>
      <c r="E92" s="17">
        <f t="shared" si="3"/>
        <v>7790</v>
      </c>
      <c r="F92" s="30">
        <f t="shared" si="4"/>
        <v>149.38499999999999</v>
      </c>
      <c r="G92" s="51" t="s">
        <v>288</v>
      </c>
    </row>
    <row r="93" spans="1:7" x14ac:dyDescent="0.3">
      <c r="A93" s="48" t="s">
        <v>9</v>
      </c>
      <c r="B93" s="4" t="s">
        <v>88</v>
      </c>
      <c r="C93" s="49" t="s">
        <v>243</v>
      </c>
      <c r="D93" s="50">
        <v>159.9</v>
      </c>
      <c r="E93" s="17">
        <f t="shared" si="3"/>
        <v>9590</v>
      </c>
      <c r="F93" s="30">
        <f t="shared" si="4"/>
        <v>183.88499999999999</v>
      </c>
      <c r="G93" s="51" t="s">
        <v>168</v>
      </c>
    </row>
    <row r="94" spans="1:7" x14ac:dyDescent="0.3">
      <c r="A94" s="48" t="s">
        <v>320</v>
      </c>
      <c r="B94" s="4" t="s">
        <v>88</v>
      </c>
      <c r="C94" s="49" t="s">
        <v>321</v>
      </c>
      <c r="D94" s="50">
        <v>169.9</v>
      </c>
      <c r="E94" s="17">
        <f t="shared" si="3"/>
        <v>10190</v>
      </c>
      <c r="F94" s="30">
        <f t="shared" si="4"/>
        <v>195.38499999999999</v>
      </c>
      <c r="G94" s="51" t="s">
        <v>322</v>
      </c>
    </row>
    <row r="95" spans="1:7" x14ac:dyDescent="0.3">
      <c r="A95" s="48" t="s">
        <v>244</v>
      </c>
      <c r="B95" s="4" t="s">
        <v>89</v>
      </c>
      <c r="C95" s="49" t="s">
        <v>245</v>
      </c>
      <c r="D95" s="50">
        <v>189.9</v>
      </c>
      <c r="E95" s="17">
        <f t="shared" si="3"/>
        <v>11390</v>
      </c>
      <c r="F95" s="30">
        <f t="shared" si="4"/>
        <v>218.38499999999999</v>
      </c>
      <c r="G95" s="51" t="s">
        <v>289</v>
      </c>
    </row>
    <row r="96" spans="1:7" x14ac:dyDescent="0.3">
      <c r="A96" s="48" t="s">
        <v>246</v>
      </c>
      <c r="B96" s="4" t="s">
        <v>89</v>
      </c>
      <c r="C96" s="49" t="s">
        <v>245</v>
      </c>
      <c r="D96" s="50">
        <v>189.9</v>
      </c>
      <c r="E96" s="17">
        <f t="shared" si="3"/>
        <v>11390</v>
      </c>
      <c r="F96" s="30">
        <f t="shared" si="4"/>
        <v>218.38499999999999</v>
      </c>
      <c r="G96" s="51" t="s">
        <v>289</v>
      </c>
    </row>
    <row r="97" spans="1:7" x14ac:dyDescent="0.3">
      <c r="A97" s="48" t="s">
        <v>2</v>
      </c>
      <c r="B97" s="4" t="s">
        <v>88</v>
      </c>
      <c r="C97" s="49" t="s">
        <v>247</v>
      </c>
      <c r="D97" s="50">
        <v>219.9</v>
      </c>
      <c r="E97" s="17">
        <f t="shared" si="3"/>
        <v>13190</v>
      </c>
      <c r="F97" s="30">
        <f t="shared" si="4"/>
        <v>252.88499999999999</v>
      </c>
      <c r="G97" s="51" t="s">
        <v>171</v>
      </c>
    </row>
    <row r="98" spans="1:7" x14ac:dyDescent="0.3">
      <c r="A98" s="48" t="s">
        <v>323</v>
      </c>
      <c r="B98" s="4" t="s">
        <v>88</v>
      </c>
      <c r="C98" s="49" t="s">
        <v>324</v>
      </c>
      <c r="D98" s="50">
        <v>229.9</v>
      </c>
      <c r="E98" s="17">
        <f t="shared" si="3"/>
        <v>13790</v>
      </c>
      <c r="F98" s="30">
        <f t="shared" si="4"/>
        <v>264.38499999999999</v>
      </c>
      <c r="G98" s="51" t="s">
        <v>325</v>
      </c>
    </row>
    <row r="99" spans="1:7" x14ac:dyDescent="0.3">
      <c r="A99" s="48" t="s">
        <v>29</v>
      </c>
      <c r="B99" s="4" t="s">
        <v>88</v>
      </c>
      <c r="C99" s="49" t="s">
        <v>248</v>
      </c>
      <c r="D99" s="50">
        <v>219.9</v>
      </c>
      <c r="E99" s="17">
        <f t="shared" si="3"/>
        <v>13190</v>
      </c>
      <c r="F99" s="30">
        <f t="shared" si="4"/>
        <v>252.88499999999999</v>
      </c>
      <c r="G99" s="51" t="s">
        <v>172</v>
      </c>
    </row>
    <row r="100" spans="1:7" x14ac:dyDescent="0.3">
      <c r="A100" s="48" t="s">
        <v>326</v>
      </c>
      <c r="B100" s="4" t="s">
        <v>88</v>
      </c>
      <c r="C100" s="49" t="s">
        <v>327</v>
      </c>
      <c r="D100" s="50">
        <v>229.9</v>
      </c>
      <c r="E100" s="17">
        <f t="shared" si="3"/>
        <v>13790</v>
      </c>
      <c r="F100" s="30">
        <f t="shared" si="4"/>
        <v>264.38499999999999</v>
      </c>
      <c r="G100" s="51" t="s">
        <v>328</v>
      </c>
    </row>
    <row r="101" spans="1:7" x14ac:dyDescent="0.3">
      <c r="A101" s="48" t="s">
        <v>1</v>
      </c>
      <c r="B101" s="4" t="s">
        <v>89</v>
      </c>
      <c r="C101" s="49" t="s">
        <v>252</v>
      </c>
      <c r="D101" s="50">
        <v>249.9</v>
      </c>
      <c r="E101" s="17">
        <f t="shared" si="3"/>
        <v>14990</v>
      </c>
      <c r="F101" s="30">
        <f t="shared" si="4"/>
        <v>287.38499999999999</v>
      </c>
      <c r="G101" s="51" t="s">
        <v>169</v>
      </c>
    </row>
    <row r="102" spans="1:7" x14ac:dyDescent="0.3">
      <c r="A102" s="48" t="s">
        <v>170</v>
      </c>
      <c r="B102" s="4" t="s">
        <v>89</v>
      </c>
      <c r="C102" s="49" t="s">
        <v>252</v>
      </c>
      <c r="D102" s="50">
        <v>249.9</v>
      </c>
      <c r="E102" s="17">
        <f t="shared" ref="E102:E107" si="5">ROUNDDOWN(+D102*EURKUR,-1)</f>
        <v>14990</v>
      </c>
      <c r="F102" s="30">
        <f t="shared" si="4"/>
        <v>287.38499999999999</v>
      </c>
      <c r="G102" s="51" t="s">
        <v>169</v>
      </c>
    </row>
    <row r="103" spans="1:7" x14ac:dyDescent="0.3">
      <c r="A103" s="48" t="s">
        <v>5</v>
      </c>
      <c r="B103" s="4" t="s">
        <v>88</v>
      </c>
      <c r="C103" s="49" t="s">
        <v>249</v>
      </c>
      <c r="D103" s="50">
        <v>449.9</v>
      </c>
      <c r="E103" s="17">
        <f t="shared" si="5"/>
        <v>26990</v>
      </c>
      <c r="F103" s="30">
        <f t="shared" si="4"/>
        <v>517.38499999999988</v>
      </c>
      <c r="G103" s="51" t="s">
        <v>173</v>
      </c>
    </row>
    <row r="104" spans="1:7" x14ac:dyDescent="0.3">
      <c r="A104" s="48" t="s">
        <v>25</v>
      </c>
      <c r="B104" s="4" t="s">
        <v>88</v>
      </c>
      <c r="C104" s="49" t="s">
        <v>253</v>
      </c>
      <c r="D104" s="50">
        <v>449.9</v>
      </c>
      <c r="E104" s="17">
        <f t="shared" si="5"/>
        <v>26990</v>
      </c>
      <c r="F104" s="30">
        <f t="shared" si="4"/>
        <v>517.38499999999988</v>
      </c>
      <c r="G104" s="51" t="s">
        <v>174</v>
      </c>
    </row>
    <row r="105" spans="1:7" x14ac:dyDescent="0.3">
      <c r="A105" s="48" t="s">
        <v>256</v>
      </c>
      <c r="B105" s="4" t="s">
        <v>88</v>
      </c>
      <c r="C105" s="49" t="s">
        <v>253</v>
      </c>
      <c r="D105" s="50">
        <v>449.9</v>
      </c>
      <c r="E105" s="17">
        <f t="shared" si="5"/>
        <v>26990</v>
      </c>
      <c r="F105" s="30">
        <f t="shared" si="4"/>
        <v>517.38499999999988</v>
      </c>
      <c r="G105" s="51" t="s">
        <v>174</v>
      </c>
    </row>
    <row r="106" spans="1:7" x14ac:dyDescent="0.3">
      <c r="A106" s="48" t="s">
        <v>250</v>
      </c>
      <c r="B106" s="4" t="s">
        <v>88</v>
      </c>
      <c r="C106" s="49" t="s">
        <v>251</v>
      </c>
      <c r="D106" s="50">
        <v>499.9</v>
      </c>
      <c r="E106" s="17">
        <f t="shared" si="5"/>
        <v>29990</v>
      </c>
      <c r="F106" s="30">
        <f t="shared" si="4"/>
        <v>574.88499999999988</v>
      </c>
      <c r="G106" s="51" t="s">
        <v>290</v>
      </c>
    </row>
    <row r="107" spans="1:7" ht="15" thickBot="1" x14ac:dyDescent="0.35">
      <c r="A107" s="54" t="s">
        <v>254</v>
      </c>
      <c r="B107" s="8" t="s">
        <v>88</v>
      </c>
      <c r="C107" s="55" t="s">
        <v>255</v>
      </c>
      <c r="D107" s="56">
        <v>499.9</v>
      </c>
      <c r="E107" s="20">
        <f t="shared" si="5"/>
        <v>29990</v>
      </c>
      <c r="F107" s="57">
        <f t="shared" si="4"/>
        <v>574.88499999999988</v>
      </c>
      <c r="G107" s="58" t="s">
        <v>291</v>
      </c>
    </row>
    <row r="110" spans="1:7" x14ac:dyDescent="0.3">
      <c r="A110" s="59" t="s">
        <v>292</v>
      </c>
      <c r="B110" s="2" t="s">
        <v>293</v>
      </c>
      <c r="C110" s="60">
        <v>89</v>
      </c>
    </row>
    <row r="111" spans="1:7" x14ac:dyDescent="0.3">
      <c r="A111" s="59" t="s">
        <v>294</v>
      </c>
      <c r="C111" s="60">
        <v>79</v>
      </c>
    </row>
    <row r="112" spans="1:7" x14ac:dyDescent="0.3">
      <c r="A112" s="59"/>
    </row>
    <row r="113" spans="1:1" x14ac:dyDescent="0.3">
      <c r="A113" s="59" t="s">
        <v>296</v>
      </c>
    </row>
    <row r="114" spans="1:1" x14ac:dyDescent="0.3">
      <c r="A114" s="59" t="s">
        <v>297</v>
      </c>
    </row>
    <row r="115" spans="1:1" x14ac:dyDescent="0.3">
      <c r="A115" s="59"/>
    </row>
    <row r="116" spans="1:1" x14ac:dyDescent="0.3">
      <c r="A116" s="59" t="s">
        <v>299</v>
      </c>
    </row>
    <row r="117" spans="1:1" x14ac:dyDescent="0.3">
      <c r="A117" s="59" t="s">
        <v>300</v>
      </c>
    </row>
    <row r="118" spans="1:1" x14ac:dyDescent="0.3">
      <c r="A118" s="59" t="s">
        <v>301</v>
      </c>
    </row>
    <row r="119" spans="1:1" x14ac:dyDescent="0.3">
      <c r="A119" s="59" t="s">
        <v>302</v>
      </c>
    </row>
    <row r="120" spans="1:1" x14ac:dyDescent="0.3">
      <c r="A120" s="59" t="s">
        <v>329</v>
      </c>
    </row>
    <row r="121" spans="1:1" x14ac:dyDescent="0.3">
      <c r="A121" s="59"/>
    </row>
    <row r="122" spans="1:1" x14ac:dyDescent="0.3">
      <c r="A122" s="59"/>
    </row>
    <row r="123" spans="1:1" x14ac:dyDescent="0.3">
      <c r="A123" s="59"/>
    </row>
    <row r="124" spans="1:1" x14ac:dyDescent="0.3">
      <c r="A124" s="59"/>
    </row>
    <row r="125" spans="1:1" x14ac:dyDescent="0.3">
      <c r="A125" s="59"/>
    </row>
    <row r="126" spans="1:1" x14ac:dyDescent="0.3">
      <c r="A126" s="59"/>
    </row>
    <row r="127" spans="1:1" x14ac:dyDescent="0.3">
      <c r="A127" s="59"/>
    </row>
    <row r="128" spans="1:1" x14ac:dyDescent="0.3">
      <c r="A128" s="59"/>
    </row>
    <row r="129" spans="1:1" x14ac:dyDescent="0.3">
      <c r="A129" s="59"/>
    </row>
    <row r="130" spans="1:1" x14ac:dyDescent="0.3">
      <c r="A130" s="59"/>
    </row>
    <row r="131" spans="1:1" x14ac:dyDescent="0.3">
      <c r="A131" s="59"/>
    </row>
    <row r="132" spans="1:1" x14ac:dyDescent="0.3">
      <c r="A132" s="59"/>
    </row>
    <row r="133" spans="1:1" x14ac:dyDescent="0.3">
      <c r="A133" s="59"/>
    </row>
    <row r="134" spans="1:1" x14ac:dyDescent="0.3">
      <c r="A134" s="59"/>
    </row>
    <row r="135" spans="1:1" x14ac:dyDescent="0.3">
      <c r="A135" s="59"/>
    </row>
    <row r="136" spans="1:1" x14ac:dyDescent="0.3">
      <c r="A136" s="59"/>
    </row>
    <row r="137" spans="1:1" x14ac:dyDescent="0.3">
      <c r="A137" s="59"/>
    </row>
    <row r="138" spans="1:1" x14ac:dyDescent="0.3">
      <c r="A138" s="59"/>
    </row>
    <row r="139" spans="1:1" x14ac:dyDescent="0.3">
      <c r="A139" s="59"/>
    </row>
    <row r="140" spans="1:1" x14ac:dyDescent="0.3">
      <c r="A140" s="59"/>
    </row>
    <row r="141" spans="1:1" x14ac:dyDescent="0.3">
      <c r="A141" s="59"/>
    </row>
    <row r="142" spans="1:1" x14ac:dyDescent="0.3">
      <c r="A142" s="59"/>
    </row>
    <row r="143" spans="1:1" x14ac:dyDescent="0.3">
      <c r="A143" s="59"/>
    </row>
    <row r="144" spans="1:1" x14ac:dyDescent="0.3">
      <c r="A144" s="59"/>
    </row>
    <row r="145" spans="1:1" x14ac:dyDescent="0.3">
      <c r="A145" s="59"/>
    </row>
    <row r="146" spans="1:1" x14ac:dyDescent="0.3">
      <c r="A146" s="59"/>
    </row>
    <row r="147" spans="1:1" x14ac:dyDescent="0.3">
      <c r="A147" s="59"/>
    </row>
    <row r="148" spans="1:1" x14ac:dyDescent="0.3">
      <c r="A148" s="59"/>
    </row>
    <row r="149" spans="1:1" x14ac:dyDescent="0.3">
      <c r="A149" s="59"/>
    </row>
    <row r="150" spans="1:1" x14ac:dyDescent="0.3">
      <c r="A150" s="59"/>
    </row>
    <row r="151" spans="1:1" x14ac:dyDescent="0.3">
      <c r="A151" s="59"/>
    </row>
    <row r="152" spans="1:1" x14ac:dyDescent="0.3">
      <c r="A152" s="59"/>
    </row>
    <row r="153" spans="1:1" x14ac:dyDescent="0.3">
      <c r="A153" s="59"/>
    </row>
    <row r="154" spans="1:1" x14ac:dyDescent="0.3">
      <c r="A154" s="59"/>
    </row>
    <row r="155" spans="1:1" x14ac:dyDescent="0.3">
      <c r="A155" s="59"/>
    </row>
    <row r="156" spans="1:1" x14ac:dyDescent="0.3">
      <c r="A156" s="59"/>
    </row>
    <row r="157" spans="1:1" x14ac:dyDescent="0.3">
      <c r="A157" s="59"/>
    </row>
    <row r="158" spans="1:1" x14ac:dyDescent="0.3">
      <c r="A158" s="59"/>
    </row>
    <row r="159" spans="1:1" x14ac:dyDescent="0.3">
      <c r="A159" s="59"/>
    </row>
    <row r="160" spans="1:1" x14ac:dyDescent="0.3">
      <c r="A160" s="59"/>
    </row>
    <row r="161" spans="1:1" x14ac:dyDescent="0.3">
      <c r="A161" s="59"/>
    </row>
    <row r="162" spans="1:1" x14ac:dyDescent="0.3">
      <c r="A162" s="59"/>
    </row>
    <row r="163" spans="1:1" x14ac:dyDescent="0.3">
      <c r="A163" s="59"/>
    </row>
    <row r="164" spans="1:1" x14ac:dyDescent="0.3">
      <c r="A164" s="59"/>
    </row>
    <row r="165" spans="1:1" x14ac:dyDescent="0.3">
      <c r="A165" s="59"/>
    </row>
    <row r="166" spans="1:1" x14ac:dyDescent="0.3">
      <c r="A166" s="59"/>
    </row>
    <row r="167" spans="1:1" x14ac:dyDescent="0.3">
      <c r="A167" s="59"/>
    </row>
    <row r="168" spans="1:1" x14ac:dyDescent="0.3">
      <c r="A168" s="59"/>
    </row>
    <row r="169" spans="1:1" x14ac:dyDescent="0.3">
      <c r="A169" s="59"/>
    </row>
    <row r="170" spans="1:1" x14ac:dyDescent="0.3">
      <c r="A170" s="59"/>
    </row>
    <row r="171" spans="1:1" x14ac:dyDescent="0.3">
      <c r="A171" s="59"/>
    </row>
    <row r="172" spans="1:1" x14ac:dyDescent="0.3">
      <c r="A172" s="59"/>
    </row>
    <row r="173" spans="1:1" x14ac:dyDescent="0.3">
      <c r="A173" s="59"/>
    </row>
    <row r="174" spans="1:1" x14ac:dyDescent="0.3">
      <c r="A174" s="59"/>
    </row>
    <row r="175" spans="1:1" x14ac:dyDescent="0.3">
      <c r="A175" s="59"/>
    </row>
    <row r="176" spans="1:1" x14ac:dyDescent="0.3">
      <c r="A176" s="59"/>
    </row>
    <row r="177" spans="1:1" x14ac:dyDescent="0.3">
      <c r="A177" s="59"/>
    </row>
    <row r="178" spans="1:1" x14ac:dyDescent="0.3">
      <c r="A178" s="59"/>
    </row>
    <row r="179" spans="1:1" x14ac:dyDescent="0.3">
      <c r="A179" s="59"/>
    </row>
    <row r="180" spans="1:1" x14ac:dyDescent="0.3">
      <c r="A180" s="59"/>
    </row>
    <row r="181" spans="1:1" x14ac:dyDescent="0.3">
      <c r="A181" s="59"/>
    </row>
    <row r="182" spans="1:1" x14ac:dyDescent="0.3">
      <c r="A182" s="59"/>
    </row>
    <row r="183" spans="1:1" x14ac:dyDescent="0.3">
      <c r="A183" s="59"/>
    </row>
    <row r="184" spans="1:1" x14ac:dyDescent="0.3">
      <c r="A184" s="59"/>
    </row>
    <row r="185" spans="1:1" x14ac:dyDescent="0.3">
      <c r="A185" s="59"/>
    </row>
    <row r="186" spans="1:1" x14ac:dyDescent="0.3">
      <c r="A186" s="59"/>
    </row>
    <row r="187" spans="1:1" x14ac:dyDescent="0.3">
      <c r="A187" s="59"/>
    </row>
    <row r="188" spans="1:1" x14ac:dyDescent="0.3">
      <c r="A188" s="59"/>
    </row>
    <row r="189" spans="1:1" x14ac:dyDescent="0.3">
      <c r="A189" s="59"/>
    </row>
    <row r="190" spans="1:1" x14ac:dyDescent="0.3">
      <c r="A190" s="59"/>
    </row>
    <row r="191" spans="1:1" x14ac:dyDescent="0.3">
      <c r="A191" s="59"/>
    </row>
    <row r="192" spans="1:1" x14ac:dyDescent="0.3">
      <c r="A192" s="59"/>
    </row>
    <row r="193" spans="1:1" x14ac:dyDescent="0.3">
      <c r="A193" s="59"/>
    </row>
    <row r="194" spans="1:1" x14ac:dyDescent="0.3">
      <c r="A194" s="59"/>
    </row>
    <row r="195" spans="1:1" x14ac:dyDescent="0.3">
      <c r="A195" s="59"/>
    </row>
    <row r="196" spans="1:1" x14ac:dyDescent="0.3">
      <c r="A196" s="59"/>
    </row>
    <row r="197" spans="1:1" x14ac:dyDescent="0.3">
      <c r="A197" s="59"/>
    </row>
    <row r="198" spans="1:1" x14ac:dyDescent="0.3">
      <c r="A198" s="59"/>
    </row>
    <row r="199" spans="1:1" x14ac:dyDescent="0.3">
      <c r="A199" s="59"/>
    </row>
    <row r="200" spans="1:1" x14ac:dyDescent="0.3">
      <c r="A200" s="59"/>
    </row>
    <row r="201" spans="1:1" x14ac:dyDescent="0.3">
      <c r="A201" s="59"/>
    </row>
    <row r="202" spans="1:1" x14ac:dyDescent="0.3">
      <c r="A202" s="59"/>
    </row>
    <row r="203" spans="1:1" x14ac:dyDescent="0.3">
      <c r="A203" s="59"/>
    </row>
    <row r="204" spans="1:1" x14ac:dyDescent="0.3">
      <c r="A204" s="59"/>
    </row>
    <row r="205" spans="1:1" x14ac:dyDescent="0.3">
      <c r="A205" s="59"/>
    </row>
    <row r="206" spans="1:1" x14ac:dyDescent="0.3">
      <c r="A206" s="59"/>
    </row>
    <row r="207" spans="1:1" x14ac:dyDescent="0.3">
      <c r="A207" s="59"/>
    </row>
    <row r="208" spans="1:1" x14ac:dyDescent="0.3">
      <c r="A208" s="59"/>
    </row>
    <row r="209" spans="1:1" x14ac:dyDescent="0.3">
      <c r="A209" s="59"/>
    </row>
    <row r="210" spans="1:1" x14ac:dyDescent="0.3">
      <c r="A210" s="59"/>
    </row>
    <row r="211" spans="1:1" x14ac:dyDescent="0.3">
      <c r="A211" s="59"/>
    </row>
    <row r="212" spans="1:1" x14ac:dyDescent="0.3">
      <c r="A212" s="59"/>
    </row>
    <row r="213" spans="1:1" x14ac:dyDescent="0.3">
      <c r="A213" s="59"/>
    </row>
    <row r="214" spans="1:1" x14ac:dyDescent="0.3">
      <c r="A214" s="59"/>
    </row>
    <row r="215" spans="1:1" x14ac:dyDescent="0.3">
      <c r="A215" s="59"/>
    </row>
    <row r="216" spans="1:1" x14ac:dyDescent="0.3">
      <c r="A216" s="59"/>
    </row>
    <row r="217" spans="1:1" x14ac:dyDescent="0.3">
      <c r="A217" s="59"/>
    </row>
    <row r="218" spans="1:1" x14ac:dyDescent="0.3">
      <c r="A218" s="59"/>
    </row>
    <row r="219" spans="1:1" x14ac:dyDescent="0.3">
      <c r="A219" s="59"/>
    </row>
    <row r="220" spans="1:1" x14ac:dyDescent="0.3">
      <c r="A220" s="59"/>
    </row>
    <row r="221" spans="1:1" x14ac:dyDescent="0.3">
      <c r="A221" s="59"/>
    </row>
    <row r="222" spans="1:1" x14ac:dyDescent="0.3">
      <c r="A222" s="59"/>
    </row>
    <row r="223" spans="1:1" x14ac:dyDescent="0.3">
      <c r="A223" s="59"/>
    </row>
    <row r="224" spans="1:1" x14ac:dyDescent="0.3">
      <c r="A224" s="59"/>
    </row>
    <row r="225" spans="1:1" x14ac:dyDescent="0.3">
      <c r="A225" s="59"/>
    </row>
    <row r="226" spans="1:1" x14ac:dyDescent="0.3">
      <c r="A226" s="59"/>
    </row>
    <row r="227" spans="1:1" x14ac:dyDescent="0.3">
      <c r="A227" s="59"/>
    </row>
    <row r="228" spans="1:1" x14ac:dyDescent="0.3">
      <c r="A228" s="59"/>
    </row>
    <row r="229" spans="1:1" x14ac:dyDescent="0.3">
      <c r="A229" s="59"/>
    </row>
    <row r="230" spans="1:1" x14ac:dyDescent="0.3">
      <c r="A230" s="59"/>
    </row>
    <row r="231" spans="1:1" x14ac:dyDescent="0.3">
      <c r="A231" s="59"/>
    </row>
    <row r="232" spans="1:1" x14ac:dyDescent="0.3">
      <c r="A232" s="59"/>
    </row>
    <row r="233" spans="1:1" x14ac:dyDescent="0.3">
      <c r="A233" s="59"/>
    </row>
    <row r="234" spans="1:1" x14ac:dyDescent="0.3">
      <c r="A234" s="59"/>
    </row>
    <row r="235" spans="1:1" x14ac:dyDescent="0.3">
      <c r="A235" s="59"/>
    </row>
    <row r="236" spans="1:1" x14ac:dyDescent="0.3">
      <c r="A236" s="59"/>
    </row>
    <row r="237" spans="1:1" x14ac:dyDescent="0.3">
      <c r="A237" s="59"/>
    </row>
    <row r="238" spans="1:1" x14ac:dyDescent="0.3">
      <c r="A238" s="59"/>
    </row>
    <row r="239" spans="1:1" x14ac:dyDescent="0.3">
      <c r="A239" s="59"/>
    </row>
  </sheetData>
  <autoFilter ref="A2:G107" xr:uid="{00000000-0001-0000-0000-000000000000}">
    <sortState xmlns:xlrd2="http://schemas.microsoft.com/office/spreadsheetml/2017/richdata2" ref="A3:G107">
      <sortCondition ref="D3:D107"/>
      <sortCondition ref="B3:B107"/>
      <sortCondition ref="A3:A107"/>
    </sortState>
  </autoFilter>
  <conditionalFormatting sqref="A17">
    <cfRule type="duplicateValues" dxfId="16" priority="3"/>
  </conditionalFormatting>
  <conditionalFormatting sqref="A120">
    <cfRule type="duplicateValues" dxfId="15" priority="1"/>
  </conditionalFormatting>
  <conditionalFormatting sqref="A2:B2 A3:A16 A18:A107">
    <cfRule type="duplicateValues" dxfId="14" priority="4"/>
  </conditionalFormatting>
  <conditionalFormatting sqref="A108:B119 A2:B2 A1 A121:B1048576 B120 A3:A107">
    <cfRule type="duplicateValues" dxfId="13" priority="2"/>
  </conditionalFormatting>
  <pageMargins left="0.7" right="0.7" top="0.75" bottom="0.75" header="0.3" footer="0.3"/>
  <pageSetup paperSize="9" scale="56" orientation="portrait" horizontalDpi="4294967293" verticalDpi="4294967293" r:id="rId1"/>
  <rowBreaks count="1" manualBreakCount="1">
    <brk id="107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CE85-78FD-4D7F-B471-725B567D58B7}">
  <dimension ref="A1:I229"/>
  <sheetViews>
    <sheetView zoomScaleNormal="100" workbookViewId="0">
      <pane ySplit="2" topLeftCell="A69" activePane="bottomLeft" state="frozen"/>
      <selection pane="bottomLeft" activeCell="C93" sqref="C93"/>
    </sheetView>
  </sheetViews>
  <sheetFormatPr defaultColWidth="9.109375" defaultRowHeight="14.4" x14ac:dyDescent="0.3"/>
  <cols>
    <col min="1" max="1" width="18.21875" style="2" bestFit="1" customWidth="1"/>
    <col min="2" max="2" width="14" style="2" customWidth="1"/>
    <col min="3" max="3" width="39.5546875" style="60" bestFit="1" customWidth="1"/>
    <col min="4" max="4" width="14.6640625" style="22" customWidth="1"/>
    <col min="5" max="5" width="13.21875" style="23" customWidth="1"/>
    <col min="6" max="6" width="9.33203125" style="24" customWidth="1"/>
    <col min="7" max="7" width="45.33203125" style="60" bestFit="1" customWidth="1"/>
    <col min="8" max="8" width="9.109375" style="2"/>
    <col min="9" max="9" width="13.88671875" style="2" customWidth="1"/>
    <col min="10" max="16384" width="9.109375" style="2"/>
  </cols>
  <sheetData>
    <row r="1" spans="1:9" s="1" customFormat="1" x14ac:dyDescent="0.3">
      <c r="A1" s="37" t="s">
        <v>82</v>
      </c>
      <c r="B1" s="38" t="s">
        <v>257</v>
      </c>
      <c r="C1" s="39" t="s">
        <v>258</v>
      </c>
      <c r="D1" s="38" t="s">
        <v>91</v>
      </c>
      <c r="E1" s="38">
        <v>60</v>
      </c>
      <c r="F1" s="40">
        <v>1.1499999999999999</v>
      </c>
      <c r="G1" s="41"/>
    </row>
    <row r="2" spans="1:9" s="47" customFormat="1" ht="13.8" x14ac:dyDescent="0.3">
      <c r="A2" s="42" t="s">
        <v>0</v>
      </c>
      <c r="B2" s="43" t="s">
        <v>83</v>
      </c>
      <c r="C2" s="43" t="s">
        <v>84</v>
      </c>
      <c r="D2" s="43" t="s">
        <v>79</v>
      </c>
      <c r="E2" s="44" t="s">
        <v>80</v>
      </c>
      <c r="F2" s="45" t="s">
        <v>92</v>
      </c>
      <c r="G2" s="46" t="s">
        <v>259</v>
      </c>
      <c r="H2" s="47" t="s">
        <v>260</v>
      </c>
      <c r="I2" s="47" t="s">
        <v>261</v>
      </c>
    </row>
    <row r="3" spans="1:9" x14ac:dyDescent="0.3">
      <c r="A3" s="48" t="s">
        <v>23</v>
      </c>
      <c r="B3" s="4" t="s">
        <v>87</v>
      </c>
      <c r="C3" s="49" t="s">
        <v>177</v>
      </c>
      <c r="D3" s="50">
        <v>14.9</v>
      </c>
      <c r="E3" s="17">
        <f t="shared" ref="E3:E34" si="0">ROUNDDOWN(+D3*EURKUR,-1)</f>
        <v>890</v>
      </c>
      <c r="F3" s="30">
        <f t="shared" ref="F3:F66" si="1">+D3*$F$1</f>
        <v>17.134999999999998</v>
      </c>
      <c r="G3" s="51" t="s">
        <v>93</v>
      </c>
      <c r="H3" s="2">
        <v>1</v>
      </c>
      <c r="I3" s="52">
        <f>+VLOOKUP(A3,'CSM  PRICE LIST 25.6.3'!$A:$D,4,FALSE)</f>
        <v>9.9</v>
      </c>
    </row>
    <row r="4" spans="1:9" x14ac:dyDescent="0.3">
      <c r="A4" s="48" t="s">
        <v>45</v>
      </c>
      <c r="B4" s="4" t="s">
        <v>87</v>
      </c>
      <c r="C4" s="49" t="s">
        <v>178</v>
      </c>
      <c r="D4" s="50">
        <v>14.9</v>
      </c>
      <c r="E4" s="17">
        <f t="shared" si="0"/>
        <v>890</v>
      </c>
      <c r="F4" s="30">
        <f t="shared" si="1"/>
        <v>17.134999999999998</v>
      </c>
      <c r="G4" s="51" t="s">
        <v>94</v>
      </c>
      <c r="H4" s="2">
        <v>1</v>
      </c>
      <c r="I4" s="52">
        <f>+VLOOKUP(A4,'CSM  PRICE LIST 25.6.3'!$A:$D,4,FALSE)</f>
        <v>9.9</v>
      </c>
    </row>
    <row r="5" spans="1:9" x14ac:dyDescent="0.3">
      <c r="A5" s="48" t="s">
        <v>14</v>
      </c>
      <c r="B5" s="4" t="s">
        <v>87</v>
      </c>
      <c r="C5" s="49" t="s">
        <v>186</v>
      </c>
      <c r="D5" s="50">
        <v>29.9</v>
      </c>
      <c r="E5" s="17">
        <f t="shared" si="0"/>
        <v>1790</v>
      </c>
      <c r="F5" s="30">
        <f t="shared" si="1"/>
        <v>34.384999999999998</v>
      </c>
      <c r="G5" s="51" t="s">
        <v>102</v>
      </c>
      <c r="H5" s="2">
        <v>1</v>
      </c>
      <c r="I5" s="52">
        <f>+VLOOKUP(A5,'CSM  PRICE LIST 25.6.3'!$A:$D,4,FALSE)</f>
        <v>29.9</v>
      </c>
    </row>
    <row r="6" spans="1:9" x14ac:dyDescent="0.3">
      <c r="A6" s="48" t="s">
        <v>47</v>
      </c>
      <c r="B6" s="4" t="s">
        <v>87</v>
      </c>
      <c r="C6" s="49" t="s">
        <v>188</v>
      </c>
      <c r="D6" s="50">
        <v>29.9</v>
      </c>
      <c r="E6" s="17">
        <f t="shared" si="0"/>
        <v>1790</v>
      </c>
      <c r="F6" s="30">
        <f t="shared" si="1"/>
        <v>34.384999999999998</v>
      </c>
      <c r="G6" s="51" t="s">
        <v>104</v>
      </c>
      <c r="H6" s="2">
        <v>1</v>
      </c>
      <c r="I6" s="52">
        <f>+VLOOKUP(A6,'CSM  PRICE LIST 25.6.3'!$A:$D,4,FALSE)</f>
        <v>29.9</v>
      </c>
    </row>
    <row r="7" spans="1:9" x14ac:dyDescent="0.3">
      <c r="A7" s="48" t="s">
        <v>15</v>
      </c>
      <c r="B7" s="4" t="s">
        <v>87</v>
      </c>
      <c r="C7" s="49" t="s">
        <v>262</v>
      </c>
      <c r="D7" s="50">
        <v>34.9</v>
      </c>
      <c r="E7" s="17">
        <f t="shared" si="0"/>
        <v>2090</v>
      </c>
      <c r="F7" s="30">
        <f t="shared" si="1"/>
        <v>40.134999999999998</v>
      </c>
      <c r="G7" s="51" t="s">
        <v>99</v>
      </c>
      <c r="H7" s="2">
        <v>1</v>
      </c>
      <c r="I7" s="52">
        <f>+VLOOKUP(A7,'CSM  PRICE LIST 25.6.3'!$A:$D,4,FALSE)</f>
        <v>24.9</v>
      </c>
    </row>
    <row r="8" spans="1:9" x14ac:dyDescent="0.3">
      <c r="A8" s="48" t="s">
        <v>33</v>
      </c>
      <c r="B8" s="4" t="s">
        <v>87</v>
      </c>
      <c r="C8" s="49" t="s">
        <v>263</v>
      </c>
      <c r="D8" s="50">
        <v>34.9</v>
      </c>
      <c r="E8" s="17">
        <f t="shared" si="0"/>
        <v>2090</v>
      </c>
      <c r="F8" s="30">
        <f t="shared" si="1"/>
        <v>40.134999999999998</v>
      </c>
      <c r="G8" s="51" t="s">
        <v>100</v>
      </c>
      <c r="H8" s="2">
        <v>1</v>
      </c>
      <c r="I8" s="52">
        <f>+VLOOKUP(A8,'CSM  PRICE LIST 25.6.3'!$A:$D,4,FALSE)</f>
        <v>24.9</v>
      </c>
    </row>
    <row r="9" spans="1:9" x14ac:dyDescent="0.3">
      <c r="A9" s="48" t="s">
        <v>28</v>
      </c>
      <c r="B9" s="4" t="s">
        <v>87</v>
      </c>
      <c r="C9" s="49" t="s">
        <v>264</v>
      </c>
      <c r="D9" s="50">
        <v>34.9</v>
      </c>
      <c r="E9" s="17">
        <f t="shared" si="0"/>
        <v>2090</v>
      </c>
      <c r="F9" s="30">
        <f t="shared" si="1"/>
        <v>40.134999999999998</v>
      </c>
      <c r="G9" s="51" t="s">
        <v>103</v>
      </c>
      <c r="H9" s="2">
        <v>1</v>
      </c>
      <c r="I9" s="52">
        <f>+VLOOKUP(A9,'CSM  PRICE LIST 25.6.3'!$A:$D,4,FALSE)</f>
        <v>29.9</v>
      </c>
    </row>
    <row r="10" spans="1:9" x14ac:dyDescent="0.3">
      <c r="A10" s="48" t="s">
        <v>71</v>
      </c>
      <c r="B10" s="4" t="s">
        <v>87</v>
      </c>
      <c r="C10" s="53" t="s">
        <v>265</v>
      </c>
      <c r="D10" s="50">
        <v>39.9</v>
      </c>
      <c r="E10" s="17">
        <f t="shared" si="0"/>
        <v>2390</v>
      </c>
      <c r="F10" s="30">
        <f t="shared" si="1"/>
        <v>45.884999999999998</v>
      </c>
      <c r="G10" s="51" t="s">
        <v>110</v>
      </c>
      <c r="H10" s="2">
        <v>1</v>
      </c>
      <c r="I10" s="52">
        <f>+VLOOKUP(A10,'CSM  PRICE LIST 25.6.3'!$A:$D,4,FALSE)</f>
        <v>29.9</v>
      </c>
    </row>
    <row r="11" spans="1:9" x14ac:dyDescent="0.3">
      <c r="A11" s="48" t="s">
        <v>62</v>
      </c>
      <c r="B11" s="4" t="s">
        <v>87</v>
      </c>
      <c r="C11" s="49" t="s">
        <v>266</v>
      </c>
      <c r="D11" s="50">
        <v>39.9</v>
      </c>
      <c r="E11" s="17">
        <f t="shared" si="0"/>
        <v>2390</v>
      </c>
      <c r="F11" s="30">
        <f t="shared" si="1"/>
        <v>45.884999999999998</v>
      </c>
      <c r="G11" s="51" t="s">
        <v>106</v>
      </c>
      <c r="H11" s="2">
        <v>1</v>
      </c>
      <c r="I11" s="52">
        <f>+VLOOKUP(A11,'CSM  PRICE LIST 25.6.3'!$A:$D,4,FALSE)</f>
        <v>29.9</v>
      </c>
    </row>
    <row r="12" spans="1:9" x14ac:dyDescent="0.3">
      <c r="A12" s="48" t="s">
        <v>11</v>
      </c>
      <c r="B12" s="4" t="s">
        <v>87</v>
      </c>
      <c r="C12" s="49" t="s">
        <v>185</v>
      </c>
      <c r="D12" s="50">
        <v>39.9</v>
      </c>
      <c r="E12" s="17">
        <f t="shared" si="0"/>
        <v>2390</v>
      </c>
      <c r="F12" s="30">
        <f t="shared" si="1"/>
        <v>45.884999999999998</v>
      </c>
      <c r="G12" s="51" t="s">
        <v>101</v>
      </c>
      <c r="H12" s="2">
        <v>1</v>
      </c>
      <c r="I12" s="52">
        <f>+VLOOKUP(A12,'CSM  PRICE LIST 25.6.3'!$A:$D,4,FALSE)</f>
        <v>29.9</v>
      </c>
    </row>
    <row r="13" spans="1:9" x14ac:dyDescent="0.3">
      <c r="A13" s="48" t="s">
        <v>81</v>
      </c>
      <c r="B13" s="4" t="s">
        <v>87</v>
      </c>
      <c r="C13" s="49" t="s">
        <v>195</v>
      </c>
      <c r="D13" s="50">
        <v>39.9</v>
      </c>
      <c r="E13" s="17">
        <f t="shared" si="0"/>
        <v>2390</v>
      </c>
      <c r="F13" s="30">
        <f t="shared" si="1"/>
        <v>45.884999999999998</v>
      </c>
      <c r="G13" s="51" t="s">
        <v>113</v>
      </c>
      <c r="H13" s="2">
        <v>1</v>
      </c>
      <c r="I13" s="52">
        <f>+VLOOKUP(A13,'CSM  PRICE LIST 25.6.3'!$A:$D,4,FALSE)</f>
        <v>39.9</v>
      </c>
    </row>
    <row r="14" spans="1:9" x14ac:dyDescent="0.3">
      <c r="A14" s="48" t="s">
        <v>49</v>
      </c>
      <c r="B14" s="4" t="s">
        <v>89</v>
      </c>
      <c r="C14" s="49" t="s">
        <v>189</v>
      </c>
      <c r="D14" s="50">
        <v>39.9</v>
      </c>
      <c r="E14" s="17">
        <f t="shared" si="0"/>
        <v>2390</v>
      </c>
      <c r="F14" s="30">
        <f t="shared" si="1"/>
        <v>45.884999999999998</v>
      </c>
      <c r="G14" s="51" t="s">
        <v>105</v>
      </c>
      <c r="H14" s="2">
        <v>1</v>
      </c>
      <c r="I14" s="52">
        <f>+VLOOKUP(A14,'CSM  PRICE LIST 25.6.3'!$A:$D,4,FALSE)</f>
        <v>29.9</v>
      </c>
    </row>
    <row r="15" spans="1:9" x14ac:dyDescent="0.3">
      <c r="A15" s="48" t="s">
        <v>50</v>
      </c>
      <c r="B15" s="4" t="s">
        <v>89</v>
      </c>
      <c r="C15" s="49" t="s">
        <v>189</v>
      </c>
      <c r="D15" s="50">
        <v>39.9</v>
      </c>
      <c r="E15" s="17">
        <f t="shared" si="0"/>
        <v>2390</v>
      </c>
      <c r="F15" s="30">
        <f t="shared" si="1"/>
        <v>45.884999999999998</v>
      </c>
      <c r="G15" s="51" t="s">
        <v>105</v>
      </c>
      <c r="H15" s="2">
        <v>1</v>
      </c>
      <c r="I15" s="52">
        <f>+VLOOKUP(A15,'CSM  PRICE LIST 25.6.3'!$A:$D,4,FALSE)</f>
        <v>29.9</v>
      </c>
    </row>
    <row r="16" spans="1:9" x14ac:dyDescent="0.3">
      <c r="A16" s="48" t="s">
        <v>64</v>
      </c>
      <c r="B16" s="4" t="s">
        <v>87</v>
      </c>
      <c r="C16" s="49" t="s">
        <v>191</v>
      </c>
      <c r="D16" s="50">
        <v>49.9</v>
      </c>
      <c r="E16" s="17">
        <f t="shared" si="0"/>
        <v>2990</v>
      </c>
      <c r="F16" s="30">
        <f t="shared" si="1"/>
        <v>57.384999999999991</v>
      </c>
      <c r="G16" s="51" t="s">
        <v>107</v>
      </c>
      <c r="H16" s="2">
        <v>1</v>
      </c>
      <c r="I16" s="52">
        <f>+VLOOKUP(A16,'CSM  PRICE LIST 25.6.3'!$A:$D,4,FALSE)</f>
        <v>29.9</v>
      </c>
    </row>
    <row r="17" spans="1:9" x14ac:dyDescent="0.3">
      <c r="A17" s="48" t="s">
        <v>108</v>
      </c>
      <c r="B17" s="4" t="s">
        <v>87</v>
      </c>
      <c r="C17" s="49" t="s">
        <v>192</v>
      </c>
      <c r="D17" s="50">
        <v>49.9</v>
      </c>
      <c r="E17" s="17">
        <f t="shared" si="0"/>
        <v>2990</v>
      </c>
      <c r="F17" s="30">
        <f t="shared" si="1"/>
        <v>57.384999999999991</v>
      </c>
      <c r="G17" s="51" t="s">
        <v>109</v>
      </c>
      <c r="H17" s="2">
        <v>1</v>
      </c>
      <c r="I17" s="52">
        <f>+VLOOKUP(A17,'CSM  PRICE LIST 25.6.3'!$A:$D,4,FALSE)</f>
        <v>29.9</v>
      </c>
    </row>
    <row r="18" spans="1:9" x14ac:dyDescent="0.3">
      <c r="A18" s="48" t="s">
        <v>67</v>
      </c>
      <c r="B18" s="4" t="s">
        <v>87</v>
      </c>
      <c r="C18" s="49" t="s">
        <v>192</v>
      </c>
      <c r="D18" s="50">
        <v>49.9</v>
      </c>
      <c r="E18" s="17">
        <f t="shared" si="0"/>
        <v>2990</v>
      </c>
      <c r="F18" s="30">
        <f t="shared" si="1"/>
        <v>57.384999999999991</v>
      </c>
      <c r="G18" s="51" t="s">
        <v>109</v>
      </c>
      <c r="H18" s="2">
        <v>1</v>
      </c>
      <c r="I18" s="52">
        <f>+VLOOKUP(A18,'CSM  PRICE LIST 25.6.3'!$A:$D,4,FALSE)</f>
        <v>29.9</v>
      </c>
    </row>
    <row r="19" spans="1:9" x14ac:dyDescent="0.3">
      <c r="A19" s="48" t="s">
        <v>111</v>
      </c>
      <c r="B19" s="4" t="s">
        <v>89</v>
      </c>
      <c r="C19" s="49" t="s">
        <v>194</v>
      </c>
      <c r="D19" s="50">
        <v>49.9</v>
      </c>
      <c r="E19" s="17">
        <f t="shared" si="0"/>
        <v>2990</v>
      </c>
      <c r="F19" s="30">
        <f t="shared" si="1"/>
        <v>57.384999999999991</v>
      </c>
      <c r="G19" s="51" t="s">
        <v>112</v>
      </c>
      <c r="H19" s="2">
        <v>1</v>
      </c>
      <c r="I19" s="52">
        <f>+VLOOKUP(A19,'CSM  PRICE LIST 25.6.3'!$A:$D,4,FALSE)</f>
        <v>39.9</v>
      </c>
    </row>
    <row r="20" spans="1:9" x14ac:dyDescent="0.3">
      <c r="A20" s="48" t="s">
        <v>85</v>
      </c>
      <c r="B20" s="4" t="s">
        <v>89</v>
      </c>
      <c r="C20" s="49" t="s">
        <v>194</v>
      </c>
      <c r="D20" s="50">
        <v>49.9</v>
      </c>
      <c r="E20" s="17">
        <f t="shared" si="0"/>
        <v>2990</v>
      </c>
      <c r="F20" s="30">
        <f t="shared" si="1"/>
        <v>57.384999999999991</v>
      </c>
      <c r="G20" s="51" t="s">
        <v>112</v>
      </c>
      <c r="H20" s="2">
        <v>1</v>
      </c>
      <c r="I20" s="52">
        <f>+VLOOKUP(A20,'CSM  PRICE LIST 25.6.3'!$A:$D,4,FALSE)</f>
        <v>39.9</v>
      </c>
    </row>
    <row r="21" spans="1:9" x14ac:dyDescent="0.3">
      <c r="A21" s="48" t="s">
        <v>56</v>
      </c>
      <c r="B21" s="4" t="s">
        <v>88</v>
      </c>
      <c r="C21" s="49" t="s">
        <v>196</v>
      </c>
      <c r="D21" s="50">
        <v>49.9</v>
      </c>
      <c r="E21" s="17">
        <f t="shared" si="0"/>
        <v>2990</v>
      </c>
      <c r="F21" s="30">
        <f t="shared" si="1"/>
        <v>57.384999999999991</v>
      </c>
      <c r="G21" s="51" t="s">
        <v>267</v>
      </c>
      <c r="H21" s="2">
        <v>0</v>
      </c>
      <c r="I21" s="52">
        <f>+VLOOKUP(A21,'CSM  PRICE LIST 25.6.3'!$A:$D,4,FALSE)</f>
        <v>49.9</v>
      </c>
    </row>
    <row r="22" spans="1:9" x14ac:dyDescent="0.3">
      <c r="A22" s="48" t="s">
        <v>20</v>
      </c>
      <c r="B22" s="4" t="s">
        <v>88</v>
      </c>
      <c r="C22" s="49" t="s">
        <v>199</v>
      </c>
      <c r="D22" s="50">
        <v>59.9</v>
      </c>
      <c r="E22" s="17">
        <f t="shared" si="0"/>
        <v>3590</v>
      </c>
      <c r="F22" s="30">
        <f t="shared" si="1"/>
        <v>68.884999999999991</v>
      </c>
      <c r="G22" s="51" t="s">
        <v>268</v>
      </c>
      <c r="H22" s="2">
        <v>1</v>
      </c>
      <c r="I22" s="52">
        <f>+VLOOKUP(A22,'CSM  PRICE LIST 25.6.3'!$A:$D,4,FALSE)</f>
        <v>59.9</v>
      </c>
    </row>
    <row r="23" spans="1:9" x14ac:dyDescent="0.3">
      <c r="A23" s="48" t="s">
        <v>22</v>
      </c>
      <c r="B23" s="4" t="s">
        <v>88</v>
      </c>
      <c r="C23" s="49" t="s">
        <v>200</v>
      </c>
      <c r="D23" s="50">
        <v>59.9</v>
      </c>
      <c r="E23" s="17">
        <f t="shared" si="0"/>
        <v>3590</v>
      </c>
      <c r="F23" s="30">
        <f t="shared" si="1"/>
        <v>68.884999999999991</v>
      </c>
      <c r="G23" s="51" t="s">
        <v>269</v>
      </c>
      <c r="H23" s="2">
        <v>1</v>
      </c>
      <c r="I23" s="52">
        <f>+VLOOKUP(A23,'CSM  PRICE LIST 25.6.3'!$A:$D,4,FALSE)</f>
        <v>59.9</v>
      </c>
    </row>
    <row r="24" spans="1:9" x14ac:dyDescent="0.3">
      <c r="A24" s="48" t="s">
        <v>37</v>
      </c>
      <c r="B24" s="4" t="s">
        <v>88</v>
      </c>
      <c r="C24" s="49" t="s">
        <v>202</v>
      </c>
      <c r="D24" s="50">
        <v>59.9</v>
      </c>
      <c r="E24" s="17">
        <f t="shared" si="0"/>
        <v>3590</v>
      </c>
      <c r="F24" s="30">
        <f t="shared" si="1"/>
        <v>68.884999999999991</v>
      </c>
      <c r="G24" s="51" t="s">
        <v>270</v>
      </c>
      <c r="H24" s="2">
        <v>0</v>
      </c>
      <c r="I24" s="52">
        <f>+VLOOKUP(A24,'CSM  PRICE LIST 25.6.3'!$A:$D,4,FALSE)</f>
        <v>59.9</v>
      </c>
    </row>
    <row r="25" spans="1:9" x14ac:dyDescent="0.3">
      <c r="A25" s="48" t="s">
        <v>42</v>
      </c>
      <c r="B25" s="4" t="s">
        <v>88</v>
      </c>
      <c r="C25" s="49" t="s">
        <v>200</v>
      </c>
      <c r="D25" s="50">
        <v>59.9</v>
      </c>
      <c r="E25" s="17">
        <f t="shared" si="0"/>
        <v>3590</v>
      </c>
      <c r="F25" s="30">
        <f t="shared" si="1"/>
        <v>68.884999999999991</v>
      </c>
      <c r="G25" s="51" t="s">
        <v>269</v>
      </c>
      <c r="H25" s="2">
        <v>0</v>
      </c>
      <c r="I25" s="52">
        <f>+VLOOKUP(A25,'CSM  PRICE LIST 25.6.3'!$A:$D,4,FALSE)</f>
        <v>59.9</v>
      </c>
    </row>
    <row r="26" spans="1:9" x14ac:dyDescent="0.3">
      <c r="A26" s="48" t="s">
        <v>66</v>
      </c>
      <c r="B26" s="4" t="s">
        <v>88</v>
      </c>
      <c r="C26" s="49" t="s">
        <v>205</v>
      </c>
      <c r="D26" s="50">
        <v>59.9</v>
      </c>
      <c r="E26" s="17">
        <f t="shared" si="0"/>
        <v>3590</v>
      </c>
      <c r="F26" s="30">
        <f t="shared" si="1"/>
        <v>68.884999999999991</v>
      </c>
      <c r="G26" s="51" t="s">
        <v>271</v>
      </c>
      <c r="H26" s="2">
        <v>0</v>
      </c>
      <c r="I26" s="52">
        <f>+VLOOKUP(A26,'CSM  PRICE LIST 25.6.3'!$A:$D,4,FALSE)</f>
        <v>59.9</v>
      </c>
    </row>
    <row r="27" spans="1:9" x14ac:dyDescent="0.3">
      <c r="A27" s="48" t="s">
        <v>48</v>
      </c>
      <c r="B27" s="4" t="s">
        <v>88</v>
      </c>
      <c r="C27" s="49" t="s">
        <v>199</v>
      </c>
      <c r="D27" s="50">
        <v>69.900000000000006</v>
      </c>
      <c r="E27" s="17">
        <f t="shared" si="0"/>
        <v>4190</v>
      </c>
      <c r="F27" s="30">
        <f t="shared" si="1"/>
        <v>80.385000000000005</v>
      </c>
      <c r="G27" s="51" t="s">
        <v>268</v>
      </c>
      <c r="H27" s="2">
        <v>1</v>
      </c>
      <c r="I27" s="52">
        <f>+VLOOKUP(A27,'CSM  PRICE LIST 25.6.3'!$A:$D,4,FALSE)</f>
        <v>59.9</v>
      </c>
    </row>
    <row r="28" spans="1:9" x14ac:dyDescent="0.3">
      <c r="A28" s="48" t="s">
        <v>68</v>
      </c>
      <c r="B28" s="4" t="s">
        <v>88</v>
      </c>
      <c r="C28" s="49" t="s">
        <v>199</v>
      </c>
      <c r="D28" s="50">
        <v>69.900000000000006</v>
      </c>
      <c r="E28" s="17">
        <f t="shared" si="0"/>
        <v>4190</v>
      </c>
      <c r="F28" s="30">
        <f t="shared" si="1"/>
        <v>80.385000000000005</v>
      </c>
      <c r="G28" s="51" t="s">
        <v>268</v>
      </c>
      <c r="H28" s="2">
        <v>1</v>
      </c>
      <c r="I28" s="52">
        <f>+VLOOKUP(A28,'CSM  PRICE LIST 25.6.3'!$A:$D,4,FALSE)</f>
        <v>59.9</v>
      </c>
    </row>
    <row r="29" spans="1:9" x14ac:dyDescent="0.3">
      <c r="A29" s="48" t="s">
        <v>69</v>
      </c>
      <c r="B29" s="4" t="s">
        <v>88</v>
      </c>
      <c r="C29" s="49" t="s">
        <v>199</v>
      </c>
      <c r="D29" s="50">
        <v>69.900000000000006</v>
      </c>
      <c r="E29" s="17">
        <f t="shared" si="0"/>
        <v>4190</v>
      </c>
      <c r="F29" s="30">
        <f t="shared" si="1"/>
        <v>80.385000000000005</v>
      </c>
      <c r="G29" s="51" t="s">
        <v>268</v>
      </c>
      <c r="H29" s="2">
        <v>0</v>
      </c>
      <c r="I29" s="52">
        <f>+VLOOKUP(A29,'CSM  PRICE LIST 25.6.3'!$A:$D,4,FALSE)</f>
        <v>59.9</v>
      </c>
    </row>
    <row r="30" spans="1:9" x14ac:dyDescent="0.3">
      <c r="A30" s="48" t="s">
        <v>7</v>
      </c>
      <c r="B30" s="4" t="s">
        <v>88</v>
      </c>
      <c r="C30" s="49" t="s">
        <v>206</v>
      </c>
      <c r="D30" s="50">
        <v>69.900000000000006</v>
      </c>
      <c r="E30" s="17">
        <f t="shared" si="0"/>
        <v>4190</v>
      </c>
      <c r="F30" s="30">
        <f t="shared" si="1"/>
        <v>80.385000000000005</v>
      </c>
      <c r="G30" s="51" t="s">
        <v>272</v>
      </c>
      <c r="H30" s="2">
        <v>1</v>
      </c>
      <c r="I30" s="52">
        <f>+VLOOKUP(A30,'CSM  PRICE LIST 25.6.3'!$A:$D,4,FALSE)</f>
        <v>69.900000000000006</v>
      </c>
    </row>
    <row r="31" spans="1:9" x14ac:dyDescent="0.3">
      <c r="A31" s="48" t="s">
        <v>52</v>
      </c>
      <c r="B31" s="4" t="s">
        <v>88</v>
      </c>
      <c r="C31" s="49" t="s">
        <v>217</v>
      </c>
      <c r="D31" s="50">
        <v>69.900000000000006</v>
      </c>
      <c r="E31" s="17">
        <f t="shared" si="0"/>
        <v>4190</v>
      </c>
      <c r="F31" s="30">
        <f t="shared" si="1"/>
        <v>80.385000000000005</v>
      </c>
      <c r="G31" s="51" t="s">
        <v>273</v>
      </c>
      <c r="H31" s="2">
        <v>1</v>
      </c>
      <c r="I31" s="52">
        <f>+VLOOKUP(A31,'CSM  PRICE LIST 25.6.3'!$A:$D,4,FALSE)</f>
        <v>69.900000000000006</v>
      </c>
    </row>
    <row r="32" spans="1:9" x14ac:dyDescent="0.3">
      <c r="A32" s="48" t="s">
        <v>54</v>
      </c>
      <c r="B32" s="4" t="s">
        <v>88</v>
      </c>
      <c r="C32" s="49" t="s">
        <v>218</v>
      </c>
      <c r="D32" s="50">
        <v>69.900000000000006</v>
      </c>
      <c r="E32" s="17">
        <f t="shared" si="0"/>
        <v>4190</v>
      </c>
      <c r="F32" s="30">
        <f t="shared" si="1"/>
        <v>80.385000000000005</v>
      </c>
      <c r="G32" s="51" t="s">
        <v>274</v>
      </c>
      <c r="H32" s="2">
        <v>1</v>
      </c>
      <c r="I32" s="52">
        <f>+VLOOKUP(A32,'CSM  PRICE LIST 25.6.3'!$A:$D,4,FALSE)</f>
        <v>69.900000000000006</v>
      </c>
    </row>
    <row r="33" spans="1:9" x14ac:dyDescent="0.3">
      <c r="A33" s="48" t="s">
        <v>58</v>
      </c>
      <c r="B33" s="4" t="s">
        <v>88</v>
      </c>
      <c r="C33" s="49" t="s">
        <v>218</v>
      </c>
      <c r="D33" s="50">
        <v>69.900000000000006</v>
      </c>
      <c r="E33" s="17">
        <f t="shared" si="0"/>
        <v>4190</v>
      </c>
      <c r="F33" s="30">
        <f t="shared" si="1"/>
        <v>80.385000000000005</v>
      </c>
      <c r="G33" s="51" t="s">
        <v>274</v>
      </c>
      <c r="H33" s="2">
        <v>0</v>
      </c>
      <c r="I33" s="52">
        <f>+VLOOKUP(A33,'CSM  PRICE LIST 25.6.3'!$A:$D,4,FALSE)</f>
        <v>69.900000000000006</v>
      </c>
    </row>
    <row r="34" spans="1:9" x14ac:dyDescent="0.3">
      <c r="A34" s="48" t="s">
        <v>10</v>
      </c>
      <c r="B34" s="4" t="s">
        <v>88</v>
      </c>
      <c r="C34" s="49" t="s">
        <v>197</v>
      </c>
      <c r="D34" s="50">
        <v>69.900000000000006</v>
      </c>
      <c r="E34" s="17">
        <f t="shared" si="0"/>
        <v>4190</v>
      </c>
      <c r="F34" s="30">
        <f t="shared" si="1"/>
        <v>80.385000000000005</v>
      </c>
      <c r="G34" s="51" t="s">
        <v>115</v>
      </c>
      <c r="H34" s="2">
        <v>1</v>
      </c>
      <c r="I34" s="52">
        <f>+VLOOKUP(A34,'CSM  PRICE LIST 25.6.3'!$A:$D,4,FALSE)</f>
        <v>59.9</v>
      </c>
    </row>
    <row r="35" spans="1:9" x14ac:dyDescent="0.3">
      <c r="A35" s="48" t="s">
        <v>13</v>
      </c>
      <c r="B35" s="4" t="s">
        <v>88</v>
      </c>
      <c r="C35" s="49" t="s">
        <v>198</v>
      </c>
      <c r="D35" s="50">
        <v>69.900000000000006</v>
      </c>
      <c r="E35" s="17">
        <f t="shared" ref="E35:E66" si="2">ROUNDDOWN(+D35*EURKUR,-1)</f>
        <v>4190</v>
      </c>
      <c r="F35" s="30">
        <f t="shared" si="1"/>
        <v>80.385000000000005</v>
      </c>
      <c r="G35" s="51" t="s">
        <v>116</v>
      </c>
      <c r="H35" s="2">
        <v>1</v>
      </c>
      <c r="I35" s="52">
        <f>+VLOOKUP(A35,'CSM  PRICE LIST 25.6.3'!$A:$D,4,FALSE)</f>
        <v>59.9</v>
      </c>
    </row>
    <row r="36" spans="1:9" x14ac:dyDescent="0.3">
      <c r="A36" s="48" t="s">
        <v>43</v>
      </c>
      <c r="B36" s="4" t="s">
        <v>88</v>
      </c>
      <c r="C36" s="49" t="s">
        <v>203</v>
      </c>
      <c r="D36" s="50">
        <v>69.900000000000006</v>
      </c>
      <c r="E36" s="17">
        <f t="shared" si="2"/>
        <v>4190</v>
      </c>
      <c r="F36" s="30">
        <f t="shared" si="1"/>
        <v>80.385000000000005</v>
      </c>
      <c r="G36" s="51" t="s">
        <v>275</v>
      </c>
      <c r="H36" s="2">
        <v>1</v>
      </c>
      <c r="I36" s="52">
        <f>+VLOOKUP(A36,'CSM  PRICE LIST 25.6.3'!$A:$D,4,FALSE)</f>
        <v>59.9</v>
      </c>
    </row>
    <row r="37" spans="1:9" x14ac:dyDescent="0.3">
      <c r="A37" s="48" t="s">
        <v>30</v>
      </c>
      <c r="B37" s="4" t="s">
        <v>89</v>
      </c>
      <c r="C37" s="49" t="s">
        <v>201</v>
      </c>
      <c r="D37" s="50">
        <v>79.900000000000006</v>
      </c>
      <c r="E37" s="17">
        <f t="shared" si="2"/>
        <v>4790</v>
      </c>
      <c r="F37" s="30">
        <f t="shared" si="1"/>
        <v>91.885000000000005</v>
      </c>
      <c r="G37" s="51" t="s">
        <v>119</v>
      </c>
      <c r="H37" s="2">
        <v>1</v>
      </c>
      <c r="I37" s="52">
        <f>+VLOOKUP(A37,'CSM  PRICE LIST 25.6.3'!$A:$D,4,FALSE)</f>
        <v>59.9</v>
      </c>
    </row>
    <row r="38" spans="1:9" x14ac:dyDescent="0.3">
      <c r="A38" s="48" t="s">
        <v>31</v>
      </c>
      <c r="B38" s="4" t="s">
        <v>89</v>
      </c>
      <c r="C38" s="49" t="s">
        <v>201</v>
      </c>
      <c r="D38" s="50">
        <v>79.900000000000006</v>
      </c>
      <c r="E38" s="17">
        <f t="shared" si="2"/>
        <v>4790</v>
      </c>
      <c r="F38" s="30">
        <f t="shared" si="1"/>
        <v>91.885000000000005</v>
      </c>
      <c r="G38" s="51" t="s">
        <v>120</v>
      </c>
      <c r="H38" s="2">
        <v>1</v>
      </c>
      <c r="I38" s="52">
        <f>+VLOOKUP(A38,'CSM  PRICE LIST 25.6.3'!$A:$D,4,FALSE)</f>
        <v>59.9</v>
      </c>
    </row>
    <row r="39" spans="1:9" x14ac:dyDescent="0.3">
      <c r="A39" s="48" t="s">
        <v>123</v>
      </c>
      <c r="B39" s="4" t="s">
        <v>89</v>
      </c>
      <c r="C39" s="49" t="s">
        <v>204</v>
      </c>
      <c r="D39" s="50">
        <v>79.900000000000006</v>
      </c>
      <c r="E39" s="17">
        <f t="shared" si="2"/>
        <v>4790</v>
      </c>
      <c r="F39" s="30">
        <f t="shared" si="1"/>
        <v>91.885000000000005</v>
      </c>
      <c r="G39" s="51" t="s">
        <v>124</v>
      </c>
      <c r="H39" s="2">
        <v>1</v>
      </c>
      <c r="I39" s="52">
        <f>+VLOOKUP(A39,'CSM  PRICE LIST 25.6.3'!$A:$D,4,FALSE)</f>
        <v>59.9</v>
      </c>
    </row>
    <row r="40" spans="1:9" x14ac:dyDescent="0.3">
      <c r="A40" s="48" t="s">
        <v>55</v>
      </c>
      <c r="B40" s="4" t="s">
        <v>89</v>
      </c>
      <c r="C40" s="49" t="s">
        <v>204</v>
      </c>
      <c r="D40" s="50">
        <v>79.900000000000006</v>
      </c>
      <c r="E40" s="17">
        <f t="shared" si="2"/>
        <v>4790</v>
      </c>
      <c r="F40" s="30">
        <f t="shared" si="1"/>
        <v>91.885000000000005</v>
      </c>
      <c r="G40" s="51" t="s">
        <v>125</v>
      </c>
      <c r="H40" s="2">
        <v>1</v>
      </c>
      <c r="I40" s="52">
        <f>+VLOOKUP(A40,'CSM  PRICE LIST 25.6.3'!$A:$D,4,FALSE)</f>
        <v>59.9</v>
      </c>
    </row>
    <row r="41" spans="1:9" x14ac:dyDescent="0.3">
      <c r="A41" s="48" t="s">
        <v>24</v>
      </c>
      <c r="B41" s="4" t="s">
        <v>89</v>
      </c>
      <c r="C41" s="49" t="s">
        <v>213</v>
      </c>
      <c r="D41" s="50">
        <v>79.900000000000006</v>
      </c>
      <c r="E41" s="17">
        <f t="shared" si="2"/>
        <v>4790</v>
      </c>
      <c r="F41" s="30">
        <f t="shared" si="1"/>
        <v>91.885000000000005</v>
      </c>
      <c r="G41" s="51" t="s">
        <v>130</v>
      </c>
      <c r="H41" s="2">
        <v>1</v>
      </c>
      <c r="I41" s="52">
        <f>+VLOOKUP(A41,'CSM  PRICE LIST 25.6.3'!$A:$D,4,FALSE)</f>
        <v>69.900000000000006</v>
      </c>
    </row>
    <row r="42" spans="1:9" x14ac:dyDescent="0.3">
      <c r="A42" s="48" t="s">
        <v>131</v>
      </c>
      <c r="B42" s="4" t="s">
        <v>89</v>
      </c>
      <c r="C42" s="49" t="s">
        <v>213</v>
      </c>
      <c r="D42" s="50">
        <v>79.900000000000006</v>
      </c>
      <c r="E42" s="17">
        <f t="shared" si="2"/>
        <v>4790</v>
      </c>
      <c r="F42" s="30">
        <f t="shared" si="1"/>
        <v>91.885000000000005</v>
      </c>
      <c r="G42" s="51" t="s">
        <v>130</v>
      </c>
      <c r="H42" s="2">
        <v>1</v>
      </c>
      <c r="I42" s="52">
        <f>+VLOOKUP(A42,'CSM  PRICE LIST 25.6.3'!$A:$D,4,FALSE)</f>
        <v>69.900000000000006</v>
      </c>
    </row>
    <row r="43" spans="1:9" x14ac:dyDescent="0.3">
      <c r="A43" s="48" t="s">
        <v>75</v>
      </c>
      <c r="B43" s="4" t="s">
        <v>89</v>
      </c>
      <c r="C43" s="49" t="s">
        <v>222</v>
      </c>
      <c r="D43" s="50">
        <v>79.900000000000006</v>
      </c>
      <c r="E43" s="17">
        <f t="shared" si="2"/>
        <v>4790</v>
      </c>
      <c r="F43" s="30">
        <f t="shared" si="1"/>
        <v>91.885000000000005</v>
      </c>
      <c r="G43" s="51" t="s">
        <v>142</v>
      </c>
      <c r="H43" s="2">
        <v>1</v>
      </c>
      <c r="I43" s="52">
        <f>+VLOOKUP(A43,'CSM  PRICE LIST 25.6.3'!$A:$D,4,FALSE)</f>
        <v>69.900000000000006</v>
      </c>
    </row>
    <row r="44" spans="1:9" x14ac:dyDescent="0.3">
      <c r="A44" s="48" t="s">
        <v>143</v>
      </c>
      <c r="B44" s="4" t="s">
        <v>89</v>
      </c>
      <c r="C44" s="49" t="s">
        <v>222</v>
      </c>
      <c r="D44" s="50">
        <v>79.900000000000006</v>
      </c>
      <c r="E44" s="17">
        <f t="shared" si="2"/>
        <v>4790</v>
      </c>
      <c r="F44" s="30">
        <f t="shared" si="1"/>
        <v>91.885000000000005</v>
      </c>
      <c r="G44" s="51" t="s">
        <v>142</v>
      </c>
      <c r="H44" s="2">
        <v>1</v>
      </c>
      <c r="I44" s="52">
        <f>+VLOOKUP(A44,'CSM  PRICE LIST 25.6.3'!$A:$D,4,FALSE)</f>
        <v>69.900000000000006</v>
      </c>
    </row>
    <row r="45" spans="1:9" x14ac:dyDescent="0.3">
      <c r="A45" s="48" t="s">
        <v>72</v>
      </c>
      <c r="B45" s="4" t="s">
        <v>89</v>
      </c>
      <c r="C45" s="49" t="s">
        <v>221</v>
      </c>
      <c r="D45" s="50">
        <v>89.9</v>
      </c>
      <c r="E45" s="17">
        <f t="shared" si="2"/>
        <v>5390</v>
      </c>
      <c r="F45" s="30">
        <f t="shared" si="1"/>
        <v>103.38500000000001</v>
      </c>
      <c r="G45" s="51" t="s">
        <v>140</v>
      </c>
      <c r="H45" s="2">
        <v>1</v>
      </c>
      <c r="I45" s="52">
        <f>+VLOOKUP(A45,'CSM  PRICE LIST 25.6.3'!$A:$D,4,FALSE)</f>
        <v>69.900000000000006</v>
      </c>
    </row>
    <row r="46" spans="1:9" x14ac:dyDescent="0.3">
      <c r="A46" s="48" t="s">
        <v>141</v>
      </c>
      <c r="B46" s="4" t="s">
        <v>89</v>
      </c>
      <c r="C46" s="49" t="s">
        <v>221</v>
      </c>
      <c r="D46" s="50">
        <v>89.9</v>
      </c>
      <c r="E46" s="17">
        <f t="shared" si="2"/>
        <v>5390</v>
      </c>
      <c r="F46" s="30">
        <f t="shared" si="1"/>
        <v>103.38500000000001</v>
      </c>
      <c r="G46" s="51" t="s">
        <v>140</v>
      </c>
      <c r="H46" s="2">
        <v>1</v>
      </c>
      <c r="I46" s="52">
        <f>+VLOOKUP(A46,'CSM  PRICE LIST 25.6.3'!$A:$D,4,FALSE)</f>
        <v>69.900000000000006</v>
      </c>
    </row>
    <row r="47" spans="1:9" x14ac:dyDescent="0.3">
      <c r="A47" s="48" t="s">
        <v>19</v>
      </c>
      <c r="B47" s="4" t="s">
        <v>88</v>
      </c>
      <c r="C47" s="49" t="s">
        <v>207</v>
      </c>
      <c r="D47" s="50">
        <v>89.9</v>
      </c>
      <c r="E47" s="17">
        <f t="shared" si="2"/>
        <v>5390</v>
      </c>
      <c r="F47" s="30">
        <f t="shared" si="1"/>
        <v>103.38500000000001</v>
      </c>
      <c r="G47" s="51" t="s">
        <v>276</v>
      </c>
      <c r="H47" s="2">
        <v>1</v>
      </c>
      <c r="I47" s="52">
        <f>+VLOOKUP(A47,'CSM  PRICE LIST 25.6.3'!$A:$D,4,FALSE)</f>
        <v>69.900000000000006</v>
      </c>
    </row>
    <row r="48" spans="1:9" x14ac:dyDescent="0.3">
      <c r="A48" s="48" t="s">
        <v>21</v>
      </c>
      <c r="B48" s="4" t="s">
        <v>88</v>
      </c>
      <c r="C48" s="49" t="s">
        <v>210</v>
      </c>
      <c r="D48" s="50">
        <v>89.9</v>
      </c>
      <c r="E48" s="17">
        <f t="shared" si="2"/>
        <v>5390</v>
      </c>
      <c r="F48" s="30">
        <f t="shared" si="1"/>
        <v>103.38500000000001</v>
      </c>
      <c r="G48" s="51" t="s">
        <v>277</v>
      </c>
      <c r="H48" s="2">
        <v>1</v>
      </c>
      <c r="I48" s="52">
        <f>+VLOOKUP(A48,'CSM  PRICE LIST 25.6.3'!$A:$D,4,FALSE)</f>
        <v>69.900000000000006</v>
      </c>
    </row>
    <row r="49" spans="1:9" x14ac:dyDescent="0.3">
      <c r="A49" s="48" t="s">
        <v>36</v>
      </c>
      <c r="B49" s="4" t="s">
        <v>88</v>
      </c>
      <c r="C49" s="49" t="s">
        <v>215</v>
      </c>
      <c r="D49" s="50">
        <v>89.9</v>
      </c>
      <c r="E49" s="17">
        <f t="shared" si="2"/>
        <v>5390</v>
      </c>
      <c r="F49" s="30">
        <f t="shared" si="1"/>
        <v>103.38500000000001</v>
      </c>
      <c r="G49" s="51" t="s">
        <v>278</v>
      </c>
      <c r="H49" s="2">
        <v>0</v>
      </c>
      <c r="I49" s="52">
        <f>+VLOOKUP(A49,'CSM  PRICE LIST 25.6.3'!$A:$D,4,FALSE)</f>
        <v>69.900000000000006</v>
      </c>
    </row>
    <row r="50" spans="1:9" x14ac:dyDescent="0.3">
      <c r="A50" s="48" t="s">
        <v>41</v>
      </c>
      <c r="B50" s="4" t="s">
        <v>88</v>
      </c>
      <c r="C50" s="49" t="s">
        <v>210</v>
      </c>
      <c r="D50" s="50">
        <v>89.9</v>
      </c>
      <c r="E50" s="17">
        <f t="shared" si="2"/>
        <v>5390</v>
      </c>
      <c r="F50" s="30">
        <f t="shared" si="1"/>
        <v>103.38500000000001</v>
      </c>
      <c r="G50" s="51" t="s">
        <v>277</v>
      </c>
      <c r="H50" s="2">
        <v>0</v>
      </c>
      <c r="I50" s="52">
        <f>+VLOOKUP(A50,'CSM  PRICE LIST 25.6.3'!$A:$D,4,FALSE)</f>
        <v>69.900000000000006</v>
      </c>
    </row>
    <row r="51" spans="1:9" x14ac:dyDescent="0.3">
      <c r="A51" s="48" t="s">
        <v>59</v>
      </c>
      <c r="B51" s="4" t="s">
        <v>88</v>
      </c>
      <c r="C51" s="49" t="s">
        <v>219</v>
      </c>
      <c r="D51" s="50">
        <v>89.9</v>
      </c>
      <c r="E51" s="17">
        <f t="shared" si="2"/>
        <v>5390</v>
      </c>
      <c r="F51" s="30">
        <f t="shared" si="1"/>
        <v>103.38500000000001</v>
      </c>
      <c r="G51" s="51" t="s">
        <v>138</v>
      </c>
      <c r="H51" s="2">
        <v>0</v>
      </c>
      <c r="I51" s="52">
        <f>+VLOOKUP(A51,'CSM  PRICE LIST 25.6.3'!$A:$D,4,FALSE)</f>
        <v>69.900000000000006</v>
      </c>
    </row>
    <row r="52" spans="1:9" x14ac:dyDescent="0.3">
      <c r="A52" s="48" t="s">
        <v>65</v>
      </c>
      <c r="B52" s="4" t="s">
        <v>88</v>
      </c>
      <c r="C52" s="49" t="s">
        <v>220</v>
      </c>
      <c r="D52" s="50">
        <v>89.9</v>
      </c>
      <c r="E52" s="17">
        <f t="shared" si="2"/>
        <v>5390</v>
      </c>
      <c r="F52" s="30">
        <f t="shared" si="1"/>
        <v>103.38500000000001</v>
      </c>
      <c r="G52" s="51" t="s">
        <v>279</v>
      </c>
      <c r="H52" s="2">
        <v>0</v>
      </c>
      <c r="I52" s="52">
        <f>+VLOOKUP(A52,'CSM  PRICE LIST 25.6.3'!$A:$D,4,FALSE)</f>
        <v>69.900000000000006</v>
      </c>
    </row>
    <row r="53" spans="1:9" x14ac:dyDescent="0.3">
      <c r="A53" s="48" t="s">
        <v>78</v>
      </c>
      <c r="B53" s="4" t="s">
        <v>88</v>
      </c>
      <c r="C53" s="49" t="s">
        <v>210</v>
      </c>
      <c r="D53" s="50">
        <v>89.9</v>
      </c>
      <c r="E53" s="17">
        <f t="shared" si="2"/>
        <v>5390</v>
      </c>
      <c r="F53" s="30">
        <f t="shared" si="1"/>
        <v>103.38500000000001</v>
      </c>
      <c r="G53" s="51" t="s">
        <v>277</v>
      </c>
      <c r="H53" s="2">
        <v>1</v>
      </c>
      <c r="I53" s="52">
        <f>+VLOOKUP(A53,'CSM  PRICE LIST 25.6.3'!$A:$D,4,FALSE)</f>
        <v>69.900000000000006</v>
      </c>
    </row>
    <row r="54" spans="1:9" x14ac:dyDescent="0.3">
      <c r="A54" s="48" t="s">
        <v>63</v>
      </c>
      <c r="B54" s="4" t="s">
        <v>87</v>
      </c>
      <c r="C54" s="49" t="s">
        <v>242</v>
      </c>
      <c r="D54" s="50">
        <v>99.9</v>
      </c>
      <c r="E54" s="17">
        <f t="shared" si="2"/>
        <v>5990</v>
      </c>
      <c r="F54" s="30">
        <f t="shared" si="1"/>
        <v>114.88499999999999</v>
      </c>
      <c r="G54" s="51" t="s">
        <v>167</v>
      </c>
      <c r="H54" s="2">
        <v>1</v>
      </c>
      <c r="I54" s="52">
        <f>+VLOOKUP(A54,'CSM  PRICE LIST 25.6.3'!$A:$D,4,FALSE)</f>
        <v>99.9</v>
      </c>
    </row>
    <row r="55" spans="1:9" x14ac:dyDescent="0.3">
      <c r="A55" s="48" t="s">
        <v>132</v>
      </c>
      <c r="B55" s="4" t="s">
        <v>89</v>
      </c>
      <c r="C55" s="49" t="s">
        <v>214</v>
      </c>
      <c r="D55" s="50">
        <v>99.9</v>
      </c>
      <c r="E55" s="17">
        <f t="shared" si="2"/>
        <v>5990</v>
      </c>
      <c r="F55" s="30">
        <f t="shared" si="1"/>
        <v>114.88499999999999</v>
      </c>
      <c r="G55" s="51" t="s">
        <v>133</v>
      </c>
      <c r="H55" s="2">
        <v>1</v>
      </c>
      <c r="I55" s="52">
        <f>+VLOOKUP(A55,'CSM  PRICE LIST 25.6.3'!$A:$D,4,FALSE)</f>
        <v>69.900000000000006</v>
      </c>
    </row>
    <row r="56" spans="1:9" x14ac:dyDescent="0.3">
      <c r="A56" s="48" t="s">
        <v>38</v>
      </c>
      <c r="B56" s="4" t="s">
        <v>89</v>
      </c>
      <c r="C56" s="49" t="s">
        <v>216</v>
      </c>
      <c r="D56" s="50">
        <v>99.9</v>
      </c>
      <c r="E56" s="17">
        <f t="shared" si="2"/>
        <v>5990</v>
      </c>
      <c r="F56" s="30">
        <f t="shared" si="1"/>
        <v>114.88499999999999</v>
      </c>
      <c r="G56" s="51" t="s">
        <v>135</v>
      </c>
      <c r="H56" s="2">
        <v>1</v>
      </c>
      <c r="I56" s="52">
        <f>+VLOOKUP(A56,'CSM  PRICE LIST 25.6.3'!$A:$D,4,FALSE)</f>
        <v>69.900000000000006</v>
      </c>
    </row>
    <row r="57" spans="1:9" x14ac:dyDescent="0.3">
      <c r="A57" s="48" t="s">
        <v>76</v>
      </c>
      <c r="B57" s="4" t="s">
        <v>89</v>
      </c>
      <c r="C57" s="49" t="s">
        <v>236</v>
      </c>
      <c r="D57" s="50">
        <v>99.9</v>
      </c>
      <c r="E57" s="17">
        <f t="shared" si="2"/>
        <v>5990</v>
      </c>
      <c r="F57" s="30">
        <f t="shared" si="1"/>
        <v>114.88499999999999</v>
      </c>
      <c r="G57" s="51" t="s">
        <v>157</v>
      </c>
      <c r="H57" s="2">
        <v>0</v>
      </c>
      <c r="I57" s="52">
        <f>+VLOOKUP(A57,'CSM  PRICE LIST 25.6.3'!$A:$D,4,FALSE)</f>
        <v>79.900000000000006</v>
      </c>
    </row>
    <row r="58" spans="1:9" x14ac:dyDescent="0.3">
      <c r="A58" s="48" t="s">
        <v>158</v>
      </c>
      <c r="B58" s="4" t="s">
        <v>89</v>
      </c>
      <c r="C58" s="49" t="s">
        <v>236</v>
      </c>
      <c r="D58" s="50">
        <v>99.9</v>
      </c>
      <c r="E58" s="17">
        <f t="shared" si="2"/>
        <v>5990</v>
      </c>
      <c r="F58" s="30">
        <f t="shared" si="1"/>
        <v>114.88499999999999</v>
      </c>
      <c r="G58" s="51" t="s">
        <v>157</v>
      </c>
      <c r="H58" s="2">
        <v>0</v>
      </c>
      <c r="I58" s="52">
        <f>+VLOOKUP(A58,'CSM  PRICE LIST 25.6.3'!$A:$D,4,FALSE)</f>
        <v>79.900000000000006</v>
      </c>
    </row>
    <row r="59" spans="1:9" x14ac:dyDescent="0.3">
      <c r="A59" s="48" t="s">
        <v>18</v>
      </c>
      <c r="B59" s="4" t="s">
        <v>89</v>
      </c>
      <c r="C59" s="49" t="s">
        <v>237</v>
      </c>
      <c r="D59" s="50">
        <v>99.9</v>
      </c>
      <c r="E59" s="17">
        <f t="shared" si="2"/>
        <v>5990</v>
      </c>
      <c r="F59" s="30">
        <f t="shared" si="1"/>
        <v>114.88499999999999</v>
      </c>
      <c r="G59" s="51" t="s">
        <v>159</v>
      </c>
      <c r="H59" s="2">
        <v>0</v>
      </c>
      <c r="I59" s="52">
        <f>+VLOOKUP(A59,'CSM  PRICE LIST 25.6.3'!$A:$D,4,FALSE)</f>
        <v>84.9</v>
      </c>
    </row>
    <row r="60" spans="1:9" x14ac:dyDescent="0.3">
      <c r="A60" s="48" t="s">
        <v>160</v>
      </c>
      <c r="B60" s="4" t="s">
        <v>89</v>
      </c>
      <c r="C60" s="49" t="s">
        <v>237</v>
      </c>
      <c r="D60" s="50">
        <v>99.9</v>
      </c>
      <c r="E60" s="17">
        <f t="shared" si="2"/>
        <v>5990</v>
      </c>
      <c r="F60" s="30">
        <f t="shared" si="1"/>
        <v>114.88499999999999</v>
      </c>
      <c r="G60" s="51" t="s">
        <v>159</v>
      </c>
      <c r="H60" s="2">
        <v>0</v>
      </c>
      <c r="I60" s="52">
        <f>+VLOOKUP(A60,'CSM  PRICE LIST 25.6.3'!$A:$D,4,FALSE)</f>
        <v>84.9</v>
      </c>
    </row>
    <row r="61" spans="1:9" x14ac:dyDescent="0.3">
      <c r="A61" s="48" t="s">
        <v>77</v>
      </c>
      <c r="B61" s="4" t="s">
        <v>89</v>
      </c>
      <c r="C61" s="49" t="s">
        <v>238</v>
      </c>
      <c r="D61" s="50">
        <v>99.9</v>
      </c>
      <c r="E61" s="17">
        <f t="shared" si="2"/>
        <v>5990</v>
      </c>
      <c r="F61" s="30">
        <f t="shared" si="1"/>
        <v>114.88499999999999</v>
      </c>
      <c r="G61" s="51" t="s">
        <v>161</v>
      </c>
      <c r="H61" s="2">
        <v>1</v>
      </c>
      <c r="I61" s="52">
        <f>+VLOOKUP(A61,'CSM  PRICE LIST 25.6.3'!$A:$D,4,FALSE)</f>
        <v>84.9</v>
      </c>
    </row>
    <row r="62" spans="1:9" x14ac:dyDescent="0.3">
      <c r="A62" s="48" t="s">
        <v>162</v>
      </c>
      <c r="B62" s="4" t="s">
        <v>89</v>
      </c>
      <c r="C62" s="49" t="s">
        <v>238</v>
      </c>
      <c r="D62" s="50">
        <v>99.9</v>
      </c>
      <c r="E62" s="17">
        <f t="shared" si="2"/>
        <v>5990</v>
      </c>
      <c r="F62" s="30">
        <f t="shared" si="1"/>
        <v>114.88499999999999</v>
      </c>
      <c r="G62" s="51" t="s">
        <v>161</v>
      </c>
      <c r="H62" s="2">
        <v>1</v>
      </c>
      <c r="I62" s="52">
        <f>+VLOOKUP(A62,'CSM  PRICE LIST 25.6.3'!$A:$D,4,FALSE)</f>
        <v>84.9</v>
      </c>
    </row>
    <row r="63" spans="1:9" x14ac:dyDescent="0.3">
      <c r="A63" s="48" t="s">
        <v>60</v>
      </c>
      <c r="B63" s="4" t="s">
        <v>89</v>
      </c>
      <c r="C63" s="49" t="s">
        <v>240</v>
      </c>
      <c r="D63" s="50">
        <v>99.9</v>
      </c>
      <c r="E63" s="17">
        <f t="shared" si="2"/>
        <v>5990</v>
      </c>
      <c r="F63" s="30">
        <f t="shared" si="1"/>
        <v>114.88499999999999</v>
      </c>
      <c r="G63" s="51" t="s">
        <v>164</v>
      </c>
      <c r="H63" s="2">
        <v>1</v>
      </c>
      <c r="I63" s="52">
        <f>+VLOOKUP(A63,'CSM  PRICE LIST 25.6.3'!$A:$D,4,FALSE)</f>
        <v>89.9</v>
      </c>
    </row>
    <row r="64" spans="1:9" x14ac:dyDescent="0.3">
      <c r="A64" s="48" t="s">
        <v>165</v>
      </c>
      <c r="B64" s="4" t="s">
        <v>89</v>
      </c>
      <c r="C64" s="49" t="s">
        <v>240</v>
      </c>
      <c r="D64" s="50">
        <v>99.9</v>
      </c>
      <c r="E64" s="17">
        <f t="shared" si="2"/>
        <v>5990</v>
      </c>
      <c r="F64" s="30">
        <f t="shared" si="1"/>
        <v>114.88499999999999</v>
      </c>
      <c r="G64" s="51" t="s">
        <v>164</v>
      </c>
      <c r="H64" s="2">
        <v>1</v>
      </c>
      <c r="I64" s="52">
        <f>+VLOOKUP(A64,'CSM  PRICE LIST 25.6.3'!$A:$D,4,FALSE)</f>
        <v>89.9</v>
      </c>
    </row>
    <row r="65" spans="1:9" x14ac:dyDescent="0.3">
      <c r="A65" s="48" t="s">
        <v>208</v>
      </c>
      <c r="B65" s="4" t="s">
        <v>88</v>
      </c>
      <c r="C65" s="49" t="s">
        <v>209</v>
      </c>
      <c r="D65" s="50">
        <v>99.9</v>
      </c>
      <c r="E65" s="17">
        <f t="shared" si="2"/>
        <v>5990</v>
      </c>
      <c r="F65" s="30">
        <f t="shared" si="1"/>
        <v>114.88499999999999</v>
      </c>
      <c r="G65" s="51" t="s">
        <v>280</v>
      </c>
      <c r="H65" s="2">
        <v>1</v>
      </c>
      <c r="I65" s="52">
        <f>+VLOOKUP(A65,'CSM  PRICE LIST 25.6.3'!$A:$D,4,FALSE)</f>
        <v>69.900000000000006</v>
      </c>
    </row>
    <row r="66" spans="1:9" x14ac:dyDescent="0.3">
      <c r="A66" s="48" t="s">
        <v>211</v>
      </c>
      <c r="B66" s="4" t="s">
        <v>88</v>
      </c>
      <c r="C66" s="49" t="s">
        <v>212</v>
      </c>
      <c r="D66" s="50">
        <v>99.9</v>
      </c>
      <c r="E66" s="17">
        <f t="shared" si="2"/>
        <v>5990</v>
      </c>
      <c r="F66" s="30">
        <f t="shared" si="1"/>
        <v>114.88499999999999</v>
      </c>
      <c r="G66" s="51" t="s">
        <v>281</v>
      </c>
      <c r="H66" s="2">
        <v>1</v>
      </c>
      <c r="I66" s="52">
        <f>+VLOOKUP(A66,'CSM  PRICE LIST 25.6.3'!$A:$D,4,FALSE)</f>
        <v>69.900000000000006</v>
      </c>
    </row>
    <row r="67" spans="1:9" x14ac:dyDescent="0.3">
      <c r="A67" s="48" t="s">
        <v>74</v>
      </c>
      <c r="B67" s="4" t="s">
        <v>88</v>
      </c>
      <c r="C67" s="49" t="s">
        <v>207</v>
      </c>
      <c r="D67" s="50">
        <v>99.9</v>
      </c>
      <c r="E67" s="17">
        <f t="shared" ref="E67:E97" si="3">ROUNDDOWN(+D67*EURKUR,-1)</f>
        <v>5990</v>
      </c>
      <c r="F67" s="30">
        <f t="shared" ref="F67:F97" si="4">+D67*$F$1</f>
        <v>114.88499999999999</v>
      </c>
      <c r="G67" s="51" t="s">
        <v>276</v>
      </c>
      <c r="H67" s="2">
        <v>1</v>
      </c>
      <c r="I67" s="52">
        <f>+VLOOKUP(A67,'CSM  PRICE LIST 25.6.3'!$A:$D,4,FALSE)</f>
        <v>69.900000000000006</v>
      </c>
    </row>
    <row r="68" spans="1:9" x14ac:dyDescent="0.3">
      <c r="A68" s="48" t="s">
        <v>3</v>
      </c>
      <c r="B68" s="4" t="s">
        <v>88</v>
      </c>
      <c r="C68" s="49" t="s">
        <v>223</v>
      </c>
      <c r="D68" s="50">
        <v>99.9</v>
      </c>
      <c r="E68" s="17">
        <f t="shared" si="3"/>
        <v>5990</v>
      </c>
      <c r="F68" s="30">
        <f t="shared" si="4"/>
        <v>114.88499999999999</v>
      </c>
      <c r="G68" s="51" t="s">
        <v>144</v>
      </c>
      <c r="H68" s="2">
        <v>0</v>
      </c>
      <c r="I68" s="52">
        <f>+VLOOKUP(A68,'CSM  PRICE LIST 25.6.3'!$A:$D,4,FALSE)</f>
        <v>79.900000000000006</v>
      </c>
    </row>
    <row r="69" spans="1:9" x14ac:dyDescent="0.3">
      <c r="A69" s="48" t="s">
        <v>6</v>
      </c>
      <c r="B69" s="4" t="s">
        <v>88</v>
      </c>
      <c r="C69" s="49" t="s">
        <v>224</v>
      </c>
      <c r="D69" s="50">
        <v>99.9</v>
      </c>
      <c r="E69" s="17">
        <f t="shared" si="3"/>
        <v>5990</v>
      </c>
      <c r="F69" s="30">
        <f t="shared" si="4"/>
        <v>114.88499999999999</v>
      </c>
      <c r="G69" s="51" t="s">
        <v>282</v>
      </c>
      <c r="H69" s="2">
        <v>1</v>
      </c>
      <c r="I69" s="52">
        <f>+VLOOKUP(A69,'CSM  PRICE LIST 25.6.3'!$A:$D,4,FALSE)</f>
        <v>79.900000000000006</v>
      </c>
    </row>
    <row r="70" spans="1:9" x14ac:dyDescent="0.3">
      <c r="A70" s="48" t="s">
        <v>8</v>
      </c>
      <c r="B70" s="4" t="s">
        <v>88</v>
      </c>
      <c r="C70" s="49" t="s">
        <v>225</v>
      </c>
      <c r="D70" s="50">
        <v>99.9</v>
      </c>
      <c r="E70" s="17">
        <f t="shared" si="3"/>
        <v>5990</v>
      </c>
      <c r="F70" s="30">
        <f t="shared" si="4"/>
        <v>114.88499999999999</v>
      </c>
      <c r="G70" s="51" t="s">
        <v>146</v>
      </c>
      <c r="H70" s="2">
        <v>0</v>
      </c>
      <c r="I70" s="52">
        <f>+VLOOKUP(A70,'CSM  PRICE LIST 25.6.3'!$A:$D,4,FALSE)</f>
        <v>79.900000000000006</v>
      </c>
    </row>
    <row r="71" spans="1:9" x14ac:dyDescent="0.3">
      <c r="A71" s="48" t="s">
        <v>12</v>
      </c>
      <c r="B71" s="4" t="s">
        <v>88</v>
      </c>
      <c r="C71" s="49" t="s">
        <v>226</v>
      </c>
      <c r="D71" s="50">
        <v>99.9</v>
      </c>
      <c r="E71" s="17">
        <f t="shared" si="3"/>
        <v>5990</v>
      </c>
      <c r="F71" s="30">
        <f t="shared" si="4"/>
        <v>114.88499999999999</v>
      </c>
      <c r="G71" s="51" t="s">
        <v>147</v>
      </c>
      <c r="H71" s="2">
        <v>0</v>
      </c>
      <c r="I71" s="52">
        <f>+VLOOKUP(A71,'CSM  PRICE LIST 25.6.3'!$A:$D,4,FALSE)</f>
        <v>79.900000000000006</v>
      </c>
    </row>
    <row r="72" spans="1:9" x14ac:dyDescent="0.3">
      <c r="A72" s="48" t="s">
        <v>16</v>
      </c>
      <c r="B72" s="4" t="s">
        <v>88</v>
      </c>
      <c r="C72" s="49" t="s">
        <v>227</v>
      </c>
      <c r="D72" s="50">
        <v>99.9</v>
      </c>
      <c r="E72" s="17">
        <f t="shared" si="3"/>
        <v>5990</v>
      </c>
      <c r="F72" s="30">
        <f t="shared" si="4"/>
        <v>114.88499999999999</v>
      </c>
      <c r="G72" s="51" t="s">
        <v>148</v>
      </c>
      <c r="H72" s="2">
        <v>0</v>
      </c>
      <c r="I72" s="52">
        <f>+VLOOKUP(A72,'CSM  PRICE LIST 25.6.3'!$A:$D,4,FALSE)</f>
        <v>79.900000000000006</v>
      </c>
    </row>
    <row r="73" spans="1:9" x14ac:dyDescent="0.3">
      <c r="A73" s="48" t="s">
        <v>17</v>
      </c>
      <c r="B73" s="4" t="s">
        <v>88</v>
      </c>
      <c r="C73" s="49" t="s">
        <v>228</v>
      </c>
      <c r="D73" s="50">
        <v>99.9</v>
      </c>
      <c r="E73" s="17">
        <f t="shared" si="3"/>
        <v>5990</v>
      </c>
      <c r="F73" s="30">
        <f t="shared" si="4"/>
        <v>114.88499999999999</v>
      </c>
      <c r="G73" s="51" t="s">
        <v>283</v>
      </c>
      <c r="H73" s="2">
        <v>1</v>
      </c>
      <c r="I73" s="52">
        <f>+VLOOKUP(A73,'CSM  PRICE LIST 25.6.3'!$A:$D,4,FALSE)</f>
        <v>79.900000000000006</v>
      </c>
    </row>
    <row r="74" spans="1:9" x14ac:dyDescent="0.3">
      <c r="A74" s="48" t="s">
        <v>26</v>
      </c>
      <c r="B74" s="4" t="s">
        <v>88</v>
      </c>
      <c r="C74" s="49" t="s">
        <v>229</v>
      </c>
      <c r="D74" s="50">
        <v>99.9</v>
      </c>
      <c r="E74" s="17">
        <f t="shared" si="3"/>
        <v>5990</v>
      </c>
      <c r="F74" s="30">
        <f t="shared" si="4"/>
        <v>114.88499999999999</v>
      </c>
      <c r="G74" s="51" t="s">
        <v>284</v>
      </c>
      <c r="H74" s="2">
        <v>1</v>
      </c>
      <c r="I74" s="52">
        <f>+VLOOKUP(A74,'CSM  PRICE LIST 25.6.3'!$A:$D,4,FALSE)</f>
        <v>79.900000000000006</v>
      </c>
    </row>
    <row r="75" spans="1:9" x14ac:dyDescent="0.3">
      <c r="A75" s="48" t="s">
        <v>44</v>
      </c>
      <c r="B75" s="4" t="s">
        <v>88</v>
      </c>
      <c r="C75" s="49" t="s">
        <v>233</v>
      </c>
      <c r="D75" s="50">
        <v>99.9</v>
      </c>
      <c r="E75" s="17">
        <f t="shared" si="3"/>
        <v>5990</v>
      </c>
      <c r="F75" s="30">
        <f t="shared" si="4"/>
        <v>114.88499999999999</v>
      </c>
      <c r="G75" s="51" t="s">
        <v>154</v>
      </c>
      <c r="H75" s="2">
        <v>0</v>
      </c>
      <c r="I75" s="52">
        <f>+VLOOKUP(A75,'CSM  PRICE LIST 25.6.3'!$A:$D,4,FALSE)</f>
        <v>79.900000000000006</v>
      </c>
    </row>
    <row r="76" spans="1:9" x14ac:dyDescent="0.3">
      <c r="A76" s="48" t="s">
        <v>46</v>
      </c>
      <c r="B76" s="4" t="s">
        <v>88</v>
      </c>
      <c r="C76" s="49" t="s">
        <v>228</v>
      </c>
      <c r="D76" s="50">
        <v>99.9</v>
      </c>
      <c r="E76" s="17">
        <f t="shared" si="3"/>
        <v>5990</v>
      </c>
      <c r="F76" s="30">
        <f t="shared" si="4"/>
        <v>114.88499999999999</v>
      </c>
      <c r="G76" s="51" t="s">
        <v>283</v>
      </c>
      <c r="H76" s="2">
        <v>1</v>
      </c>
      <c r="I76" s="52">
        <f>+VLOOKUP(A76,'CSM  PRICE LIST 25.6.3'!$A:$D,4,FALSE)</f>
        <v>79.900000000000006</v>
      </c>
    </row>
    <row r="77" spans="1:9" x14ac:dyDescent="0.3">
      <c r="A77" s="48" t="s">
        <v>51</v>
      </c>
      <c r="B77" s="4" t="s">
        <v>88</v>
      </c>
      <c r="C77" s="49" t="s">
        <v>234</v>
      </c>
      <c r="D77" s="50">
        <v>99.9</v>
      </c>
      <c r="E77" s="17">
        <f t="shared" si="3"/>
        <v>5990</v>
      </c>
      <c r="F77" s="30">
        <f t="shared" si="4"/>
        <v>114.88499999999999</v>
      </c>
      <c r="G77" s="51" t="s">
        <v>285</v>
      </c>
      <c r="H77" s="2">
        <v>1</v>
      </c>
      <c r="I77" s="52">
        <f>+VLOOKUP(A77,'CSM  PRICE LIST 25.6.3'!$A:$D,4,FALSE)</f>
        <v>79.900000000000006</v>
      </c>
    </row>
    <row r="78" spans="1:9" x14ac:dyDescent="0.3">
      <c r="A78" s="48" t="s">
        <v>53</v>
      </c>
      <c r="B78" s="4" t="s">
        <v>88</v>
      </c>
      <c r="C78" s="49" t="s">
        <v>235</v>
      </c>
      <c r="D78" s="50">
        <v>99.9</v>
      </c>
      <c r="E78" s="17">
        <f t="shared" si="3"/>
        <v>5990</v>
      </c>
      <c r="F78" s="30">
        <f t="shared" si="4"/>
        <v>114.88499999999999</v>
      </c>
      <c r="G78" s="51" t="s">
        <v>286</v>
      </c>
      <c r="H78" s="2">
        <v>1</v>
      </c>
      <c r="I78" s="52">
        <f>+VLOOKUP(A78,'CSM  PRICE LIST 25.6.3'!$A:$D,4,FALSE)</f>
        <v>79.900000000000006</v>
      </c>
    </row>
    <row r="79" spans="1:9" x14ac:dyDescent="0.3">
      <c r="A79" s="48" t="s">
        <v>57</v>
      </c>
      <c r="B79" s="4" t="s">
        <v>88</v>
      </c>
      <c r="C79" s="49" t="s">
        <v>235</v>
      </c>
      <c r="D79" s="50">
        <v>99.9</v>
      </c>
      <c r="E79" s="17">
        <f t="shared" si="3"/>
        <v>5990</v>
      </c>
      <c r="F79" s="30">
        <f t="shared" si="4"/>
        <v>114.88499999999999</v>
      </c>
      <c r="G79" s="51" t="s">
        <v>286</v>
      </c>
      <c r="H79" s="2">
        <v>0</v>
      </c>
      <c r="I79" s="52">
        <f>+VLOOKUP(A79,'CSM  PRICE LIST 25.6.3'!$A:$D,4,FALSE)</f>
        <v>79.900000000000006</v>
      </c>
    </row>
    <row r="80" spans="1:9" x14ac:dyDescent="0.3">
      <c r="A80" s="48" t="s">
        <v>35</v>
      </c>
      <c r="B80" s="4" t="s">
        <v>88</v>
      </c>
      <c r="C80" s="49" t="s">
        <v>239</v>
      </c>
      <c r="D80" s="50">
        <v>99.9</v>
      </c>
      <c r="E80" s="17">
        <f t="shared" si="3"/>
        <v>5990</v>
      </c>
      <c r="F80" s="30">
        <f t="shared" si="4"/>
        <v>114.88499999999999</v>
      </c>
      <c r="G80" s="51" t="s">
        <v>163</v>
      </c>
      <c r="H80" s="2">
        <v>1</v>
      </c>
      <c r="I80" s="52">
        <f>+VLOOKUP(A80,'CSM  PRICE LIST 25.6.3'!$A:$D,4,FALSE)</f>
        <v>89.9</v>
      </c>
    </row>
    <row r="81" spans="1:9" x14ac:dyDescent="0.3">
      <c r="A81" s="48" t="s">
        <v>73</v>
      </c>
      <c r="B81" s="4" t="s">
        <v>88</v>
      </c>
      <c r="C81" s="49" t="s">
        <v>207</v>
      </c>
      <c r="D81" s="50">
        <v>109.9</v>
      </c>
      <c r="E81" s="17">
        <f t="shared" si="3"/>
        <v>6590</v>
      </c>
      <c r="F81" s="30">
        <f t="shared" si="4"/>
        <v>126.38499999999999</v>
      </c>
      <c r="G81" s="51" t="s">
        <v>276</v>
      </c>
      <c r="H81" s="2">
        <v>1</v>
      </c>
      <c r="I81" s="52">
        <f>+VLOOKUP(A81,'CSM  PRICE LIST 25.6.3'!$A:$D,4,FALSE)</f>
        <v>69.900000000000006</v>
      </c>
    </row>
    <row r="82" spans="1:9" x14ac:dyDescent="0.3">
      <c r="A82" s="48" t="s">
        <v>4</v>
      </c>
      <c r="B82" s="4" t="s">
        <v>88</v>
      </c>
      <c r="C82" s="49" t="s">
        <v>241</v>
      </c>
      <c r="D82" s="50">
        <v>109.9</v>
      </c>
      <c r="E82" s="17">
        <f t="shared" si="3"/>
        <v>6590</v>
      </c>
      <c r="F82" s="30">
        <f t="shared" si="4"/>
        <v>126.38499999999999</v>
      </c>
      <c r="G82" s="51" t="s">
        <v>166</v>
      </c>
      <c r="H82" s="2">
        <v>1</v>
      </c>
      <c r="I82" s="52">
        <f>+VLOOKUP(A82,'CSM  PRICE LIST 25.6.3'!$A:$D,4,FALSE)</f>
        <v>99.9</v>
      </c>
    </row>
    <row r="83" spans="1:9" x14ac:dyDescent="0.3">
      <c r="A83" s="48" t="s">
        <v>34</v>
      </c>
      <c r="B83" s="4" t="s">
        <v>88</v>
      </c>
      <c r="C83" s="49" t="s">
        <v>230</v>
      </c>
      <c r="D83" s="50">
        <v>129.9</v>
      </c>
      <c r="E83" s="17">
        <f t="shared" si="3"/>
        <v>7790</v>
      </c>
      <c r="F83" s="30">
        <f t="shared" si="4"/>
        <v>149.38499999999999</v>
      </c>
      <c r="G83" s="51" t="s">
        <v>287</v>
      </c>
      <c r="H83" s="2">
        <v>1</v>
      </c>
      <c r="I83" s="52">
        <f>+VLOOKUP(A83,'CSM  PRICE LIST 25.6.3'!$A:$D,4,FALSE)</f>
        <v>79.900000000000006</v>
      </c>
    </row>
    <row r="84" spans="1:9" x14ac:dyDescent="0.3">
      <c r="A84" s="48" t="s">
        <v>39</v>
      </c>
      <c r="B84" s="4" t="s">
        <v>88</v>
      </c>
      <c r="C84" s="49" t="s">
        <v>231</v>
      </c>
      <c r="D84" s="50">
        <v>129.9</v>
      </c>
      <c r="E84" s="17">
        <f t="shared" si="3"/>
        <v>7790</v>
      </c>
      <c r="F84" s="30">
        <f t="shared" si="4"/>
        <v>149.38499999999999</v>
      </c>
      <c r="G84" s="51" t="s">
        <v>152</v>
      </c>
      <c r="H84" s="2">
        <v>1</v>
      </c>
      <c r="I84" s="52">
        <f>+VLOOKUP(A84,'CSM  PRICE LIST 25.6.3'!$A:$D,4,FALSE)</f>
        <v>79.900000000000006</v>
      </c>
    </row>
    <row r="85" spans="1:9" x14ac:dyDescent="0.3">
      <c r="A85" s="48" t="s">
        <v>40</v>
      </c>
      <c r="B85" s="4" t="s">
        <v>88</v>
      </c>
      <c r="C85" s="49" t="s">
        <v>232</v>
      </c>
      <c r="D85" s="50">
        <v>129.9</v>
      </c>
      <c r="E85" s="17">
        <f t="shared" si="3"/>
        <v>7790</v>
      </c>
      <c r="F85" s="30">
        <f t="shared" si="4"/>
        <v>149.38499999999999</v>
      </c>
      <c r="G85" s="51" t="s">
        <v>288</v>
      </c>
      <c r="H85" s="2">
        <v>1</v>
      </c>
      <c r="I85" s="52">
        <f>+VLOOKUP(A85,'CSM  PRICE LIST 25.6.3'!$A:$D,4,FALSE)</f>
        <v>79.900000000000006</v>
      </c>
    </row>
    <row r="86" spans="1:9" x14ac:dyDescent="0.3">
      <c r="A86" s="48" t="s">
        <v>9</v>
      </c>
      <c r="B86" s="4" t="s">
        <v>88</v>
      </c>
      <c r="C86" s="49" t="s">
        <v>243</v>
      </c>
      <c r="D86" s="50">
        <v>159.9</v>
      </c>
      <c r="E86" s="17">
        <f t="shared" si="3"/>
        <v>9590</v>
      </c>
      <c r="F86" s="30">
        <f t="shared" si="4"/>
        <v>183.88499999999999</v>
      </c>
      <c r="G86" s="51" t="s">
        <v>168</v>
      </c>
      <c r="H86" s="2">
        <v>1</v>
      </c>
      <c r="I86" s="52">
        <f>+VLOOKUP(A86,'CSM  PRICE LIST 25.6.3'!$A:$D,4,FALSE)</f>
        <v>149.9</v>
      </c>
    </row>
    <row r="87" spans="1:9" x14ac:dyDescent="0.3">
      <c r="A87" s="48" t="s">
        <v>244</v>
      </c>
      <c r="B87" s="4" t="s">
        <v>89</v>
      </c>
      <c r="C87" s="49" t="s">
        <v>245</v>
      </c>
      <c r="D87" s="50">
        <v>189.9</v>
      </c>
      <c r="E87" s="17">
        <f t="shared" si="3"/>
        <v>11390</v>
      </c>
      <c r="F87" s="30">
        <f t="shared" si="4"/>
        <v>218.38499999999999</v>
      </c>
      <c r="G87" s="51" t="s">
        <v>289</v>
      </c>
      <c r="H87" s="2">
        <v>1</v>
      </c>
      <c r="I87" s="52">
        <f>+VLOOKUP(A87,'CSM  PRICE LIST 25.6.3'!$A:$D,4,FALSE)</f>
        <v>179.9</v>
      </c>
    </row>
    <row r="88" spans="1:9" x14ac:dyDescent="0.3">
      <c r="A88" s="48" t="s">
        <v>246</v>
      </c>
      <c r="B88" s="4" t="s">
        <v>89</v>
      </c>
      <c r="C88" s="49" t="s">
        <v>245</v>
      </c>
      <c r="D88" s="50">
        <v>189.9</v>
      </c>
      <c r="E88" s="17">
        <f t="shared" si="3"/>
        <v>11390</v>
      </c>
      <c r="F88" s="30">
        <f t="shared" si="4"/>
        <v>218.38499999999999</v>
      </c>
      <c r="G88" s="51" t="s">
        <v>289</v>
      </c>
      <c r="H88" s="2">
        <v>1</v>
      </c>
      <c r="I88" s="52">
        <f>+VLOOKUP(A88,'CSM  PRICE LIST 25.6.3'!$A:$D,4,FALSE)</f>
        <v>179.9</v>
      </c>
    </row>
    <row r="89" spans="1:9" x14ac:dyDescent="0.3">
      <c r="A89" s="48" t="s">
        <v>2</v>
      </c>
      <c r="B89" s="4" t="s">
        <v>88</v>
      </c>
      <c r="C89" s="49" t="s">
        <v>247</v>
      </c>
      <c r="D89" s="50">
        <v>219.9</v>
      </c>
      <c r="E89" s="17">
        <f t="shared" si="3"/>
        <v>13190</v>
      </c>
      <c r="F89" s="30">
        <f t="shared" si="4"/>
        <v>252.88499999999999</v>
      </c>
      <c r="G89" s="51" t="s">
        <v>171</v>
      </c>
      <c r="H89" s="2">
        <v>1</v>
      </c>
      <c r="I89" s="52">
        <f>+VLOOKUP(A89,'CSM  PRICE LIST 25.6.3'!$A:$D,4,FALSE)</f>
        <v>199.9</v>
      </c>
    </row>
    <row r="90" spans="1:9" x14ac:dyDescent="0.3">
      <c r="A90" s="48" t="s">
        <v>29</v>
      </c>
      <c r="B90" s="4" t="s">
        <v>88</v>
      </c>
      <c r="C90" s="49" t="s">
        <v>248</v>
      </c>
      <c r="D90" s="50">
        <v>219.9</v>
      </c>
      <c r="E90" s="17">
        <f t="shared" si="3"/>
        <v>13190</v>
      </c>
      <c r="F90" s="30">
        <f t="shared" si="4"/>
        <v>252.88499999999999</v>
      </c>
      <c r="G90" s="51" t="s">
        <v>172</v>
      </c>
      <c r="H90" s="2">
        <v>1</v>
      </c>
      <c r="I90" s="52">
        <f>+VLOOKUP(A90,'CSM  PRICE LIST 25.6.3'!$A:$D,4,FALSE)</f>
        <v>199.9</v>
      </c>
    </row>
    <row r="91" spans="1:9" x14ac:dyDescent="0.3">
      <c r="A91" s="48" t="s">
        <v>1</v>
      </c>
      <c r="B91" s="4" t="s">
        <v>89</v>
      </c>
      <c r="C91" s="49" t="s">
        <v>252</v>
      </c>
      <c r="D91" s="50">
        <v>249.9</v>
      </c>
      <c r="E91" s="17">
        <f t="shared" si="3"/>
        <v>14990</v>
      </c>
      <c r="F91" s="30">
        <f t="shared" si="4"/>
        <v>287.38499999999999</v>
      </c>
      <c r="G91" s="51" t="s">
        <v>169</v>
      </c>
      <c r="H91" s="2">
        <v>1</v>
      </c>
      <c r="I91" s="52">
        <f>+VLOOKUP(A91,'CSM  PRICE LIST 25.6.3'!$A:$D,4,FALSE)</f>
        <v>249.9</v>
      </c>
    </row>
    <row r="92" spans="1:9" x14ac:dyDescent="0.3">
      <c r="A92" s="48" t="s">
        <v>170</v>
      </c>
      <c r="B92" s="4" t="s">
        <v>89</v>
      </c>
      <c r="C92" s="49" t="s">
        <v>252</v>
      </c>
      <c r="D92" s="50">
        <v>249.9</v>
      </c>
      <c r="E92" s="17">
        <f t="shared" si="3"/>
        <v>14990</v>
      </c>
      <c r="F92" s="30">
        <f t="shared" si="4"/>
        <v>287.38499999999999</v>
      </c>
      <c r="G92" s="51" t="s">
        <v>169</v>
      </c>
      <c r="H92" s="2">
        <v>1</v>
      </c>
      <c r="I92" s="52">
        <f>+VLOOKUP(A92,'CSM  PRICE LIST 25.6.3'!$A:$D,4,FALSE)</f>
        <v>249.9</v>
      </c>
    </row>
    <row r="93" spans="1:9" x14ac:dyDescent="0.3">
      <c r="A93" s="48" t="s">
        <v>5</v>
      </c>
      <c r="B93" s="4" t="s">
        <v>88</v>
      </c>
      <c r="C93" s="49" t="s">
        <v>249</v>
      </c>
      <c r="D93" s="50">
        <v>449.9</v>
      </c>
      <c r="E93" s="17">
        <f t="shared" si="3"/>
        <v>26990</v>
      </c>
      <c r="F93" s="30">
        <f t="shared" si="4"/>
        <v>517.38499999999988</v>
      </c>
      <c r="G93" s="51" t="s">
        <v>173</v>
      </c>
      <c r="H93" s="2">
        <v>1</v>
      </c>
      <c r="I93" s="52">
        <f>+VLOOKUP(A93,'CSM  PRICE LIST 25.6.3'!$A:$D,4,FALSE)</f>
        <v>399.9</v>
      </c>
    </row>
    <row r="94" spans="1:9" x14ac:dyDescent="0.3">
      <c r="A94" s="48" t="s">
        <v>25</v>
      </c>
      <c r="B94" s="4" t="s">
        <v>88</v>
      </c>
      <c r="C94" s="49" t="s">
        <v>253</v>
      </c>
      <c r="D94" s="50">
        <v>449.9</v>
      </c>
      <c r="E94" s="17">
        <f t="shared" si="3"/>
        <v>26990</v>
      </c>
      <c r="F94" s="30">
        <f t="shared" si="4"/>
        <v>517.38499999999988</v>
      </c>
      <c r="G94" s="51" t="s">
        <v>174</v>
      </c>
      <c r="H94" s="2">
        <v>1</v>
      </c>
      <c r="I94" s="52">
        <f>+VLOOKUP(A94,'CSM  PRICE LIST 25.6.3'!$A:$D,4,FALSE)</f>
        <v>399.9</v>
      </c>
    </row>
    <row r="95" spans="1:9" x14ac:dyDescent="0.3">
      <c r="A95" s="48" t="s">
        <v>256</v>
      </c>
      <c r="B95" s="4" t="s">
        <v>88</v>
      </c>
      <c r="C95" s="49" t="s">
        <v>253</v>
      </c>
      <c r="D95" s="50">
        <v>449.9</v>
      </c>
      <c r="E95" s="17">
        <f t="shared" si="3"/>
        <v>26990</v>
      </c>
      <c r="F95" s="30">
        <f t="shared" si="4"/>
        <v>517.38499999999988</v>
      </c>
      <c r="G95" s="51" t="s">
        <v>174</v>
      </c>
      <c r="H95" s="2">
        <v>1</v>
      </c>
      <c r="I95" s="52">
        <f>+VLOOKUP(A95,'CSM  PRICE LIST 25.6.3'!$A:$D,4,FALSE)</f>
        <v>399.9</v>
      </c>
    </row>
    <row r="96" spans="1:9" x14ac:dyDescent="0.3">
      <c r="A96" s="48" t="s">
        <v>250</v>
      </c>
      <c r="B96" s="4" t="s">
        <v>88</v>
      </c>
      <c r="C96" s="49" t="s">
        <v>251</v>
      </c>
      <c r="D96" s="50">
        <v>499.9</v>
      </c>
      <c r="E96" s="17">
        <f t="shared" si="3"/>
        <v>29990</v>
      </c>
      <c r="F96" s="30">
        <f t="shared" si="4"/>
        <v>574.88499999999988</v>
      </c>
      <c r="G96" s="51" t="s">
        <v>290</v>
      </c>
      <c r="H96" s="2">
        <v>1</v>
      </c>
      <c r="I96" s="52">
        <f>+VLOOKUP(A96,'CSM  PRICE LIST 25.6.3'!$A:$D,4,FALSE)</f>
        <v>399.9</v>
      </c>
    </row>
    <row r="97" spans="1:9" ht="15" thickBot="1" x14ac:dyDescent="0.35">
      <c r="A97" s="54" t="s">
        <v>254</v>
      </c>
      <c r="B97" s="8" t="s">
        <v>88</v>
      </c>
      <c r="C97" s="55" t="s">
        <v>255</v>
      </c>
      <c r="D97" s="56">
        <v>499.9</v>
      </c>
      <c r="E97" s="20">
        <f t="shared" si="3"/>
        <v>29990</v>
      </c>
      <c r="F97" s="57">
        <f t="shared" si="4"/>
        <v>574.88499999999988</v>
      </c>
      <c r="G97" s="58" t="s">
        <v>291</v>
      </c>
      <c r="H97" s="2">
        <v>1</v>
      </c>
      <c r="I97" s="52">
        <f>+VLOOKUP(A97,'CSM  PRICE LIST 25.6.3'!$A:$D,4,FALSE)</f>
        <v>399.9</v>
      </c>
    </row>
    <row r="100" spans="1:9" x14ac:dyDescent="0.3">
      <c r="A100" s="59" t="s">
        <v>292</v>
      </c>
      <c r="B100" s="2" t="s">
        <v>293</v>
      </c>
      <c r="C100" s="60">
        <v>89</v>
      </c>
    </row>
    <row r="101" spans="1:9" x14ac:dyDescent="0.3">
      <c r="A101" s="59" t="s">
        <v>294</v>
      </c>
      <c r="C101" s="60">
        <v>79</v>
      </c>
    </row>
    <row r="102" spans="1:9" x14ac:dyDescent="0.3">
      <c r="A102" s="59" t="s">
        <v>295</v>
      </c>
    </row>
    <row r="103" spans="1:9" x14ac:dyDescent="0.3">
      <c r="A103" s="59" t="s">
        <v>296</v>
      </c>
    </row>
    <row r="104" spans="1:9" x14ac:dyDescent="0.3">
      <c r="A104" s="59" t="s">
        <v>297</v>
      </c>
    </row>
    <row r="105" spans="1:9" x14ac:dyDescent="0.3">
      <c r="A105" s="59" t="s">
        <v>298</v>
      </c>
    </row>
    <row r="106" spans="1:9" x14ac:dyDescent="0.3">
      <c r="A106" s="59" t="s">
        <v>299</v>
      </c>
    </row>
    <row r="107" spans="1:9" x14ac:dyDescent="0.3">
      <c r="A107" s="59" t="s">
        <v>300</v>
      </c>
    </row>
    <row r="108" spans="1:9" x14ac:dyDescent="0.3">
      <c r="A108" s="59" t="s">
        <v>301</v>
      </c>
    </row>
    <row r="109" spans="1:9" x14ac:dyDescent="0.3">
      <c r="A109" s="59" t="s">
        <v>302</v>
      </c>
    </row>
    <row r="110" spans="1:9" x14ac:dyDescent="0.3">
      <c r="A110" s="59"/>
    </row>
    <row r="111" spans="1:9" x14ac:dyDescent="0.3">
      <c r="A111" s="59"/>
    </row>
    <row r="112" spans="1:9" x14ac:dyDescent="0.3">
      <c r="A112" s="59"/>
    </row>
    <row r="113" spans="1:1" x14ac:dyDescent="0.3">
      <c r="A113" s="59"/>
    </row>
    <row r="114" spans="1:1" x14ac:dyDescent="0.3">
      <c r="A114" s="59"/>
    </row>
    <row r="115" spans="1:1" x14ac:dyDescent="0.3">
      <c r="A115" s="59"/>
    </row>
    <row r="116" spans="1:1" x14ac:dyDescent="0.3">
      <c r="A116" s="59"/>
    </row>
    <row r="117" spans="1:1" x14ac:dyDescent="0.3">
      <c r="A117" s="59"/>
    </row>
    <row r="118" spans="1:1" x14ac:dyDescent="0.3">
      <c r="A118" s="59"/>
    </row>
    <row r="119" spans="1:1" x14ac:dyDescent="0.3">
      <c r="A119" s="59"/>
    </row>
    <row r="120" spans="1:1" x14ac:dyDescent="0.3">
      <c r="A120" s="59"/>
    </row>
    <row r="121" spans="1:1" x14ac:dyDescent="0.3">
      <c r="A121" s="59"/>
    </row>
    <row r="122" spans="1:1" x14ac:dyDescent="0.3">
      <c r="A122" s="59"/>
    </row>
    <row r="123" spans="1:1" x14ac:dyDescent="0.3">
      <c r="A123" s="59"/>
    </row>
    <row r="124" spans="1:1" x14ac:dyDescent="0.3">
      <c r="A124" s="59"/>
    </row>
    <row r="125" spans="1:1" x14ac:dyDescent="0.3">
      <c r="A125" s="59"/>
    </row>
    <row r="126" spans="1:1" x14ac:dyDescent="0.3">
      <c r="A126" s="59"/>
    </row>
    <row r="127" spans="1:1" x14ac:dyDescent="0.3">
      <c r="A127" s="59"/>
    </row>
    <row r="128" spans="1:1" x14ac:dyDescent="0.3">
      <c r="A128" s="59"/>
    </row>
    <row r="129" spans="1:1" x14ac:dyDescent="0.3">
      <c r="A129" s="59"/>
    </row>
    <row r="130" spans="1:1" x14ac:dyDescent="0.3">
      <c r="A130" s="59"/>
    </row>
    <row r="131" spans="1:1" x14ac:dyDescent="0.3">
      <c r="A131" s="59"/>
    </row>
    <row r="132" spans="1:1" x14ac:dyDescent="0.3">
      <c r="A132" s="59"/>
    </row>
    <row r="133" spans="1:1" x14ac:dyDescent="0.3">
      <c r="A133" s="59"/>
    </row>
    <row r="134" spans="1:1" x14ac:dyDescent="0.3">
      <c r="A134" s="59"/>
    </row>
    <row r="135" spans="1:1" x14ac:dyDescent="0.3">
      <c r="A135" s="59"/>
    </row>
    <row r="136" spans="1:1" x14ac:dyDescent="0.3">
      <c r="A136" s="59"/>
    </row>
    <row r="137" spans="1:1" x14ac:dyDescent="0.3">
      <c r="A137" s="59"/>
    </row>
    <row r="138" spans="1:1" x14ac:dyDescent="0.3">
      <c r="A138" s="59"/>
    </row>
    <row r="139" spans="1:1" x14ac:dyDescent="0.3">
      <c r="A139" s="59"/>
    </row>
    <row r="140" spans="1:1" x14ac:dyDescent="0.3">
      <c r="A140" s="59"/>
    </row>
    <row r="141" spans="1:1" x14ac:dyDescent="0.3">
      <c r="A141" s="59"/>
    </row>
    <row r="142" spans="1:1" x14ac:dyDescent="0.3">
      <c r="A142" s="59"/>
    </row>
    <row r="143" spans="1:1" x14ac:dyDescent="0.3">
      <c r="A143" s="59"/>
    </row>
    <row r="144" spans="1:1" x14ac:dyDescent="0.3">
      <c r="A144" s="59"/>
    </row>
    <row r="145" spans="1:1" x14ac:dyDescent="0.3">
      <c r="A145" s="59"/>
    </row>
    <row r="146" spans="1:1" x14ac:dyDescent="0.3">
      <c r="A146" s="59"/>
    </row>
    <row r="147" spans="1:1" x14ac:dyDescent="0.3">
      <c r="A147" s="59"/>
    </row>
    <row r="148" spans="1:1" x14ac:dyDescent="0.3">
      <c r="A148" s="59"/>
    </row>
    <row r="149" spans="1:1" x14ac:dyDescent="0.3">
      <c r="A149" s="59"/>
    </row>
    <row r="150" spans="1:1" x14ac:dyDescent="0.3">
      <c r="A150" s="59"/>
    </row>
    <row r="151" spans="1:1" x14ac:dyDescent="0.3">
      <c r="A151" s="59"/>
    </row>
    <row r="152" spans="1:1" x14ac:dyDescent="0.3">
      <c r="A152" s="59"/>
    </row>
    <row r="153" spans="1:1" x14ac:dyDescent="0.3">
      <c r="A153" s="59"/>
    </row>
    <row r="154" spans="1:1" x14ac:dyDescent="0.3">
      <c r="A154" s="59"/>
    </row>
    <row r="155" spans="1:1" x14ac:dyDescent="0.3">
      <c r="A155" s="59"/>
    </row>
    <row r="156" spans="1:1" x14ac:dyDescent="0.3">
      <c r="A156" s="59"/>
    </row>
    <row r="157" spans="1:1" x14ac:dyDescent="0.3">
      <c r="A157" s="59"/>
    </row>
    <row r="158" spans="1:1" x14ac:dyDescent="0.3">
      <c r="A158" s="59"/>
    </row>
    <row r="159" spans="1:1" x14ac:dyDescent="0.3">
      <c r="A159" s="59"/>
    </row>
    <row r="160" spans="1:1" x14ac:dyDescent="0.3">
      <c r="A160" s="59"/>
    </row>
    <row r="161" spans="1:1" x14ac:dyDescent="0.3">
      <c r="A161" s="59"/>
    </row>
    <row r="162" spans="1:1" x14ac:dyDescent="0.3">
      <c r="A162" s="59"/>
    </row>
    <row r="163" spans="1:1" x14ac:dyDescent="0.3">
      <c r="A163" s="59"/>
    </row>
    <row r="164" spans="1:1" x14ac:dyDescent="0.3">
      <c r="A164" s="59"/>
    </row>
    <row r="165" spans="1:1" x14ac:dyDescent="0.3">
      <c r="A165" s="59"/>
    </row>
    <row r="166" spans="1:1" x14ac:dyDescent="0.3">
      <c r="A166" s="59"/>
    </row>
    <row r="167" spans="1:1" x14ac:dyDescent="0.3">
      <c r="A167" s="59"/>
    </row>
    <row r="168" spans="1:1" x14ac:dyDescent="0.3">
      <c r="A168" s="59"/>
    </row>
    <row r="169" spans="1:1" x14ac:dyDescent="0.3">
      <c r="A169" s="59"/>
    </row>
    <row r="170" spans="1:1" x14ac:dyDescent="0.3">
      <c r="A170" s="59"/>
    </row>
    <row r="171" spans="1:1" x14ac:dyDescent="0.3">
      <c r="A171" s="59"/>
    </row>
    <row r="172" spans="1:1" x14ac:dyDescent="0.3">
      <c r="A172" s="59"/>
    </row>
    <row r="173" spans="1:1" x14ac:dyDescent="0.3">
      <c r="A173" s="59"/>
    </row>
    <row r="174" spans="1:1" x14ac:dyDescent="0.3">
      <c r="A174" s="59"/>
    </row>
    <row r="175" spans="1:1" x14ac:dyDescent="0.3">
      <c r="A175" s="59"/>
    </row>
    <row r="176" spans="1:1" x14ac:dyDescent="0.3">
      <c r="A176" s="59"/>
    </row>
    <row r="177" spans="1:1" x14ac:dyDescent="0.3">
      <c r="A177" s="59"/>
    </row>
    <row r="178" spans="1:1" x14ac:dyDescent="0.3">
      <c r="A178" s="59"/>
    </row>
    <row r="179" spans="1:1" x14ac:dyDescent="0.3">
      <c r="A179" s="59"/>
    </row>
    <row r="180" spans="1:1" x14ac:dyDescent="0.3">
      <c r="A180" s="59"/>
    </row>
    <row r="181" spans="1:1" x14ac:dyDescent="0.3">
      <c r="A181" s="59"/>
    </row>
    <row r="182" spans="1:1" x14ac:dyDescent="0.3">
      <c r="A182" s="59"/>
    </row>
    <row r="183" spans="1:1" x14ac:dyDescent="0.3">
      <c r="A183" s="59"/>
    </row>
    <row r="184" spans="1:1" x14ac:dyDescent="0.3">
      <c r="A184" s="59"/>
    </row>
    <row r="185" spans="1:1" x14ac:dyDescent="0.3">
      <c r="A185" s="59"/>
    </row>
    <row r="186" spans="1:1" x14ac:dyDescent="0.3">
      <c r="A186" s="59"/>
    </row>
    <row r="187" spans="1:1" x14ac:dyDescent="0.3">
      <c r="A187" s="59"/>
    </row>
    <row r="188" spans="1:1" x14ac:dyDescent="0.3">
      <c r="A188" s="59"/>
    </row>
    <row r="189" spans="1:1" x14ac:dyDescent="0.3">
      <c r="A189" s="59"/>
    </row>
    <row r="190" spans="1:1" x14ac:dyDescent="0.3">
      <c r="A190" s="59"/>
    </row>
    <row r="191" spans="1:1" x14ac:dyDescent="0.3">
      <c r="A191" s="59"/>
    </row>
    <row r="192" spans="1:1" x14ac:dyDescent="0.3">
      <c r="A192" s="59"/>
    </row>
    <row r="193" spans="1:1" x14ac:dyDescent="0.3">
      <c r="A193" s="59"/>
    </row>
    <row r="194" spans="1:1" x14ac:dyDescent="0.3">
      <c r="A194" s="59"/>
    </row>
    <row r="195" spans="1:1" x14ac:dyDescent="0.3">
      <c r="A195" s="59"/>
    </row>
    <row r="196" spans="1:1" x14ac:dyDescent="0.3">
      <c r="A196" s="59"/>
    </row>
    <row r="197" spans="1:1" x14ac:dyDescent="0.3">
      <c r="A197" s="59"/>
    </row>
    <row r="198" spans="1:1" x14ac:dyDescent="0.3">
      <c r="A198" s="59"/>
    </row>
    <row r="199" spans="1:1" x14ac:dyDescent="0.3">
      <c r="A199" s="59"/>
    </row>
    <row r="200" spans="1:1" x14ac:dyDescent="0.3">
      <c r="A200" s="59"/>
    </row>
    <row r="201" spans="1:1" x14ac:dyDescent="0.3">
      <c r="A201" s="59"/>
    </row>
    <row r="202" spans="1:1" x14ac:dyDescent="0.3">
      <c r="A202" s="59"/>
    </row>
    <row r="203" spans="1:1" x14ac:dyDescent="0.3">
      <c r="A203" s="59"/>
    </row>
    <row r="204" spans="1:1" x14ac:dyDescent="0.3">
      <c r="A204" s="59"/>
    </row>
    <row r="205" spans="1:1" x14ac:dyDescent="0.3">
      <c r="A205" s="59"/>
    </row>
    <row r="206" spans="1:1" x14ac:dyDescent="0.3">
      <c r="A206" s="59"/>
    </row>
    <row r="207" spans="1:1" x14ac:dyDescent="0.3">
      <c r="A207" s="59"/>
    </row>
    <row r="208" spans="1:1" x14ac:dyDescent="0.3">
      <c r="A208" s="59"/>
    </row>
    <row r="209" spans="1:1" x14ac:dyDescent="0.3">
      <c r="A209" s="59"/>
    </row>
    <row r="210" spans="1:1" x14ac:dyDescent="0.3">
      <c r="A210" s="59"/>
    </row>
    <row r="211" spans="1:1" x14ac:dyDescent="0.3">
      <c r="A211" s="59"/>
    </row>
    <row r="212" spans="1:1" x14ac:dyDescent="0.3">
      <c r="A212" s="59"/>
    </row>
    <row r="213" spans="1:1" x14ac:dyDescent="0.3">
      <c r="A213" s="59"/>
    </row>
    <row r="214" spans="1:1" x14ac:dyDescent="0.3">
      <c r="A214" s="59"/>
    </row>
    <row r="215" spans="1:1" x14ac:dyDescent="0.3">
      <c r="A215" s="59"/>
    </row>
    <row r="216" spans="1:1" x14ac:dyDescent="0.3">
      <c r="A216" s="59"/>
    </row>
    <row r="217" spans="1:1" x14ac:dyDescent="0.3">
      <c r="A217" s="59"/>
    </row>
    <row r="218" spans="1:1" x14ac:dyDescent="0.3">
      <c r="A218" s="59"/>
    </row>
    <row r="219" spans="1:1" x14ac:dyDescent="0.3">
      <c r="A219" s="59"/>
    </row>
    <row r="220" spans="1:1" x14ac:dyDescent="0.3">
      <c r="A220" s="59"/>
    </row>
    <row r="221" spans="1:1" x14ac:dyDescent="0.3">
      <c r="A221" s="59"/>
    </row>
    <row r="222" spans="1:1" x14ac:dyDescent="0.3">
      <c r="A222" s="59"/>
    </row>
    <row r="223" spans="1:1" x14ac:dyDescent="0.3">
      <c r="A223" s="59"/>
    </row>
    <row r="224" spans="1:1" x14ac:dyDescent="0.3">
      <c r="A224" s="59"/>
    </row>
    <row r="225" spans="1:1" x14ac:dyDescent="0.3">
      <c r="A225" s="59"/>
    </row>
    <row r="226" spans="1:1" x14ac:dyDescent="0.3">
      <c r="A226" s="59"/>
    </row>
    <row r="227" spans="1:1" x14ac:dyDescent="0.3">
      <c r="A227" s="59"/>
    </row>
    <row r="228" spans="1:1" x14ac:dyDescent="0.3">
      <c r="A228" s="59"/>
    </row>
    <row r="229" spans="1:1" x14ac:dyDescent="0.3">
      <c r="A229" s="59"/>
    </row>
  </sheetData>
  <autoFilter ref="A2:I97" xr:uid="{00000000-0001-0000-0000-000000000000}">
    <sortState xmlns:xlrd2="http://schemas.microsoft.com/office/spreadsheetml/2017/richdata2" ref="A3:I97">
      <sortCondition ref="D3:D97"/>
      <sortCondition ref="B3:B97"/>
    </sortState>
  </autoFilter>
  <conditionalFormatting sqref="A15">
    <cfRule type="duplicateValues" dxfId="12" priority="2"/>
  </conditionalFormatting>
  <conditionalFormatting sqref="A16:A97 A2:B2 A3:A14">
    <cfRule type="duplicateValues" dxfId="11" priority="3"/>
  </conditionalFormatting>
  <conditionalFormatting sqref="A98:B1048576 A2:B2 A1 A3:A97">
    <cfRule type="duplicateValues" dxfId="10" priority="1"/>
  </conditionalFormatting>
  <pageMargins left="0.7" right="0.7" top="0.75" bottom="0.75" header="0.3" footer="0.3"/>
  <pageSetup paperSize="9" scale="56" orientation="portrait" horizontalDpi="4294967293" verticalDpi="4294967293" r:id="rId1"/>
  <rowBreaks count="1" manualBreakCount="1">
    <brk id="97" max="6" man="1"/>
  </rowBreaks>
  <colBreaks count="1" manualBreakCount="1">
    <brk id="7" max="9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CD95-5FA0-4740-B242-D30E9D5EB9DA}">
  <dimension ref="A1:I101"/>
  <sheetViews>
    <sheetView topLeftCell="A85" workbookViewId="0">
      <selection activeCell="I105" sqref="I105"/>
    </sheetView>
  </sheetViews>
  <sheetFormatPr defaultColWidth="9.109375" defaultRowHeight="14.4" x14ac:dyDescent="0.3"/>
  <cols>
    <col min="1" max="1" width="22.109375" style="2" bestFit="1" customWidth="1"/>
    <col min="2" max="2" width="21.33203125" style="2" customWidth="1"/>
    <col min="3" max="3" width="43.88671875" style="2" bestFit="1" customWidth="1"/>
    <col min="4" max="4" width="14.6640625" style="22" customWidth="1"/>
    <col min="5" max="5" width="12" style="23" bestFit="1" customWidth="1"/>
    <col min="6" max="6" width="12" style="24" bestFit="1" customWidth="1"/>
    <col min="7" max="16384" width="9.109375" style="2"/>
  </cols>
  <sheetData>
    <row r="1" spans="1:6" s="1" customFormat="1" x14ac:dyDescent="0.3">
      <c r="A1" s="25" t="s">
        <v>82</v>
      </c>
      <c r="B1" s="25" t="s">
        <v>175</v>
      </c>
      <c r="C1" s="26" t="s">
        <v>176</v>
      </c>
      <c r="D1" s="25" t="s">
        <v>91</v>
      </c>
      <c r="E1" s="25">
        <v>50</v>
      </c>
      <c r="F1" s="27">
        <v>1.1499999999999999</v>
      </c>
    </row>
    <row r="2" spans="1:6" x14ac:dyDescent="0.3">
      <c r="A2" s="14" t="s">
        <v>0</v>
      </c>
      <c r="B2" s="14" t="s">
        <v>83</v>
      </c>
      <c r="C2" s="14" t="s">
        <v>84</v>
      </c>
      <c r="D2" s="14" t="s">
        <v>79</v>
      </c>
      <c r="E2" s="15" t="s">
        <v>80</v>
      </c>
      <c r="F2" s="28" t="s">
        <v>92</v>
      </c>
    </row>
    <row r="3" spans="1:6" x14ac:dyDescent="0.3">
      <c r="A3" s="29" t="s">
        <v>23</v>
      </c>
      <c r="B3" s="4" t="s">
        <v>87</v>
      </c>
      <c r="C3" s="4" t="s">
        <v>177</v>
      </c>
      <c r="D3" s="5">
        <v>9.9</v>
      </c>
      <c r="E3" s="17">
        <f t="shared" ref="E3:E34" si="0">+D3*EURKUR</f>
        <v>495</v>
      </c>
      <c r="F3" s="30">
        <f>+D3*$F$1</f>
        <v>11.385</v>
      </c>
    </row>
    <row r="4" spans="1:6" x14ac:dyDescent="0.3">
      <c r="A4" s="29" t="s">
        <v>45</v>
      </c>
      <c r="B4" s="4" t="s">
        <v>87</v>
      </c>
      <c r="C4" s="4" t="s">
        <v>178</v>
      </c>
      <c r="D4" s="5">
        <v>9.9</v>
      </c>
      <c r="E4" s="17">
        <f t="shared" si="0"/>
        <v>495</v>
      </c>
      <c r="F4" s="30">
        <f t="shared" ref="F4:F67" si="1">+D4*$F$1</f>
        <v>11.385</v>
      </c>
    </row>
    <row r="5" spans="1:6" x14ac:dyDescent="0.3">
      <c r="A5" s="29" t="s">
        <v>32</v>
      </c>
      <c r="B5" s="4" t="s">
        <v>87</v>
      </c>
      <c r="C5" s="4" t="s">
        <v>179</v>
      </c>
      <c r="D5" s="5">
        <v>12.9</v>
      </c>
      <c r="E5" s="17">
        <f t="shared" si="0"/>
        <v>645</v>
      </c>
      <c r="F5" s="30">
        <f t="shared" si="1"/>
        <v>14.834999999999999</v>
      </c>
    </row>
    <row r="6" spans="1:6" x14ac:dyDescent="0.3">
      <c r="A6" s="29" t="s">
        <v>27</v>
      </c>
      <c r="B6" s="4" t="s">
        <v>87</v>
      </c>
      <c r="C6" s="4" t="s">
        <v>180</v>
      </c>
      <c r="D6" s="5">
        <v>14.9</v>
      </c>
      <c r="E6" s="17">
        <f t="shared" si="0"/>
        <v>745</v>
      </c>
      <c r="F6" s="30">
        <f t="shared" si="1"/>
        <v>17.134999999999998</v>
      </c>
    </row>
    <row r="7" spans="1:6" x14ac:dyDescent="0.3">
      <c r="A7" s="29" t="s">
        <v>61</v>
      </c>
      <c r="B7" s="4" t="s">
        <v>87</v>
      </c>
      <c r="C7" s="4" t="s">
        <v>181</v>
      </c>
      <c r="D7" s="5">
        <v>14.9</v>
      </c>
      <c r="E7" s="17">
        <f t="shared" si="0"/>
        <v>745</v>
      </c>
      <c r="F7" s="30">
        <f t="shared" si="1"/>
        <v>17.134999999999998</v>
      </c>
    </row>
    <row r="8" spans="1:6" x14ac:dyDescent="0.3">
      <c r="A8" s="29" t="s">
        <v>70</v>
      </c>
      <c r="B8" s="4" t="s">
        <v>87</v>
      </c>
      <c r="C8" s="4" t="s">
        <v>182</v>
      </c>
      <c r="D8" s="5">
        <v>17.899999999999999</v>
      </c>
      <c r="E8" s="17">
        <f t="shared" si="0"/>
        <v>894.99999999999989</v>
      </c>
      <c r="F8" s="30">
        <f t="shared" si="1"/>
        <v>20.584999999999997</v>
      </c>
    </row>
    <row r="9" spans="1:6" x14ac:dyDescent="0.3">
      <c r="A9" s="29" t="s">
        <v>15</v>
      </c>
      <c r="B9" s="4" t="s">
        <v>87</v>
      </c>
      <c r="C9" s="4" t="s">
        <v>183</v>
      </c>
      <c r="D9" s="5">
        <v>24.9</v>
      </c>
      <c r="E9" s="17">
        <f t="shared" si="0"/>
        <v>1245</v>
      </c>
      <c r="F9" s="30">
        <f t="shared" si="1"/>
        <v>28.634999999999994</v>
      </c>
    </row>
    <row r="10" spans="1:6" x14ac:dyDescent="0.3">
      <c r="A10" s="29" t="s">
        <v>33</v>
      </c>
      <c r="B10" s="4" t="s">
        <v>87</v>
      </c>
      <c r="C10" s="4" t="s">
        <v>184</v>
      </c>
      <c r="D10" s="5">
        <v>24.9</v>
      </c>
      <c r="E10" s="17">
        <f t="shared" si="0"/>
        <v>1245</v>
      </c>
      <c r="F10" s="30">
        <f t="shared" si="1"/>
        <v>28.634999999999994</v>
      </c>
    </row>
    <row r="11" spans="1:6" x14ac:dyDescent="0.3">
      <c r="A11" s="29" t="s">
        <v>11</v>
      </c>
      <c r="B11" s="4" t="s">
        <v>87</v>
      </c>
      <c r="C11" s="4" t="s">
        <v>185</v>
      </c>
      <c r="D11" s="5">
        <v>29.9</v>
      </c>
      <c r="E11" s="17">
        <f t="shared" si="0"/>
        <v>1495</v>
      </c>
      <c r="F11" s="30">
        <f t="shared" si="1"/>
        <v>34.384999999999998</v>
      </c>
    </row>
    <row r="12" spans="1:6" x14ac:dyDescent="0.3">
      <c r="A12" s="29" t="s">
        <v>14</v>
      </c>
      <c r="B12" s="4" t="s">
        <v>87</v>
      </c>
      <c r="C12" s="4" t="s">
        <v>186</v>
      </c>
      <c r="D12" s="5">
        <v>29.9</v>
      </c>
      <c r="E12" s="17">
        <f t="shared" si="0"/>
        <v>1495</v>
      </c>
      <c r="F12" s="30">
        <f t="shared" si="1"/>
        <v>34.384999999999998</v>
      </c>
    </row>
    <row r="13" spans="1:6" x14ac:dyDescent="0.3">
      <c r="A13" s="29" t="s">
        <v>28</v>
      </c>
      <c r="B13" s="4" t="s">
        <v>87</v>
      </c>
      <c r="C13" s="4" t="s">
        <v>187</v>
      </c>
      <c r="D13" s="5">
        <v>29.9</v>
      </c>
      <c r="E13" s="17">
        <f t="shared" si="0"/>
        <v>1495</v>
      </c>
      <c r="F13" s="30">
        <f t="shared" si="1"/>
        <v>34.384999999999998</v>
      </c>
    </row>
    <row r="14" spans="1:6" x14ac:dyDescent="0.3">
      <c r="A14" s="29" t="s">
        <v>47</v>
      </c>
      <c r="B14" s="4" t="s">
        <v>87</v>
      </c>
      <c r="C14" s="4" t="s">
        <v>188</v>
      </c>
      <c r="D14" s="5">
        <v>29.9</v>
      </c>
      <c r="E14" s="17">
        <f t="shared" si="0"/>
        <v>1495</v>
      </c>
      <c r="F14" s="30">
        <f t="shared" si="1"/>
        <v>34.384999999999998</v>
      </c>
    </row>
    <row r="15" spans="1:6" x14ac:dyDescent="0.3">
      <c r="A15" s="29" t="s">
        <v>49</v>
      </c>
      <c r="B15" s="4" t="s">
        <v>89</v>
      </c>
      <c r="C15" s="4" t="s">
        <v>189</v>
      </c>
      <c r="D15" s="5">
        <v>29.9</v>
      </c>
      <c r="E15" s="17">
        <f t="shared" si="0"/>
        <v>1495</v>
      </c>
      <c r="F15" s="30">
        <f t="shared" si="1"/>
        <v>34.384999999999998</v>
      </c>
    </row>
    <row r="16" spans="1:6" x14ac:dyDescent="0.3">
      <c r="A16" s="29" t="s">
        <v>50</v>
      </c>
      <c r="B16" s="4" t="s">
        <v>89</v>
      </c>
      <c r="C16" s="4" t="s">
        <v>189</v>
      </c>
      <c r="D16" s="5">
        <v>29.9</v>
      </c>
      <c r="E16" s="17">
        <f t="shared" si="0"/>
        <v>1495</v>
      </c>
      <c r="F16" s="30">
        <f t="shared" si="1"/>
        <v>34.384999999999998</v>
      </c>
    </row>
    <row r="17" spans="1:9" x14ac:dyDescent="0.3">
      <c r="A17" s="29" t="s">
        <v>62</v>
      </c>
      <c r="B17" s="4" t="s">
        <v>87</v>
      </c>
      <c r="C17" s="4" t="s">
        <v>190</v>
      </c>
      <c r="D17" s="5">
        <v>29.9</v>
      </c>
      <c r="E17" s="17">
        <f t="shared" si="0"/>
        <v>1495</v>
      </c>
      <c r="F17" s="30">
        <f t="shared" si="1"/>
        <v>34.384999999999998</v>
      </c>
    </row>
    <row r="18" spans="1:9" x14ac:dyDescent="0.3">
      <c r="A18" s="29" t="s">
        <v>64</v>
      </c>
      <c r="B18" s="4" t="s">
        <v>87</v>
      </c>
      <c r="C18" s="4" t="s">
        <v>191</v>
      </c>
      <c r="D18" s="5">
        <v>29.9</v>
      </c>
      <c r="E18" s="17">
        <f t="shared" si="0"/>
        <v>1495</v>
      </c>
      <c r="F18" s="30">
        <f t="shared" si="1"/>
        <v>34.384999999999998</v>
      </c>
    </row>
    <row r="19" spans="1:9" x14ac:dyDescent="0.3">
      <c r="A19" s="29" t="s">
        <v>108</v>
      </c>
      <c r="B19" s="4" t="s">
        <v>87</v>
      </c>
      <c r="C19" s="4" t="s">
        <v>192</v>
      </c>
      <c r="D19" s="5">
        <v>29.9</v>
      </c>
      <c r="E19" s="17">
        <f t="shared" si="0"/>
        <v>1495</v>
      </c>
      <c r="F19" s="30">
        <f t="shared" si="1"/>
        <v>34.384999999999998</v>
      </c>
    </row>
    <row r="20" spans="1:9" x14ac:dyDescent="0.3">
      <c r="A20" s="29" t="s">
        <v>67</v>
      </c>
      <c r="B20" s="4" t="s">
        <v>87</v>
      </c>
      <c r="C20" s="4" t="s">
        <v>192</v>
      </c>
      <c r="D20" s="5">
        <v>29.9</v>
      </c>
      <c r="E20" s="17">
        <f t="shared" si="0"/>
        <v>1495</v>
      </c>
      <c r="F20" s="30">
        <f t="shared" si="1"/>
        <v>34.384999999999998</v>
      </c>
    </row>
    <row r="21" spans="1:9" x14ac:dyDescent="0.3">
      <c r="A21" s="29" t="s">
        <v>71</v>
      </c>
      <c r="B21" s="4" t="s">
        <v>87</v>
      </c>
      <c r="C21" s="4" t="s">
        <v>193</v>
      </c>
      <c r="D21" s="5">
        <v>29.9</v>
      </c>
      <c r="E21" s="17">
        <f t="shared" si="0"/>
        <v>1495</v>
      </c>
      <c r="F21" s="30">
        <f t="shared" si="1"/>
        <v>34.384999999999998</v>
      </c>
    </row>
    <row r="22" spans="1:9" x14ac:dyDescent="0.3">
      <c r="A22" s="29" t="s">
        <v>111</v>
      </c>
      <c r="B22" s="4" t="s">
        <v>89</v>
      </c>
      <c r="C22" s="4" t="s">
        <v>194</v>
      </c>
      <c r="D22" s="5">
        <v>39.9</v>
      </c>
      <c r="E22" s="17">
        <f t="shared" si="0"/>
        <v>1995</v>
      </c>
      <c r="F22" s="30">
        <f t="shared" si="1"/>
        <v>45.884999999999998</v>
      </c>
    </row>
    <row r="23" spans="1:9" x14ac:dyDescent="0.3">
      <c r="A23" s="29" t="s">
        <v>85</v>
      </c>
      <c r="B23" s="4" t="s">
        <v>89</v>
      </c>
      <c r="C23" s="4" t="s">
        <v>194</v>
      </c>
      <c r="D23" s="5">
        <v>39.9</v>
      </c>
      <c r="E23" s="17">
        <f t="shared" si="0"/>
        <v>1995</v>
      </c>
      <c r="F23" s="30">
        <f t="shared" si="1"/>
        <v>45.884999999999998</v>
      </c>
    </row>
    <row r="24" spans="1:9" x14ac:dyDescent="0.3">
      <c r="A24" s="29" t="s">
        <v>81</v>
      </c>
      <c r="B24" s="4" t="s">
        <v>87</v>
      </c>
      <c r="C24" s="4" t="s">
        <v>195</v>
      </c>
      <c r="D24" s="5">
        <v>39.9</v>
      </c>
      <c r="E24" s="17">
        <f t="shared" si="0"/>
        <v>1995</v>
      </c>
      <c r="F24" s="30">
        <f t="shared" si="1"/>
        <v>45.884999999999998</v>
      </c>
    </row>
    <row r="25" spans="1:9" x14ac:dyDescent="0.3">
      <c r="A25" s="29" t="s">
        <v>56</v>
      </c>
      <c r="B25" s="4" t="s">
        <v>88</v>
      </c>
      <c r="C25" s="4" t="s">
        <v>196</v>
      </c>
      <c r="D25" s="5">
        <v>49.9</v>
      </c>
      <c r="E25" s="17">
        <f t="shared" si="0"/>
        <v>2495</v>
      </c>
      <c r="F25" s="30">
        <f t="shared" si="1"/>
        <v>57.384999999999991</v>
      </c>
    </row>
    <row r="26" spans="1:9" x14ac:dyDescent="0.3">
      <c r="A26" s="29" t="s">
        <v>10</v>
      </c>
      <c r="B26" s="4" t="s">
        <v>88</v>
      </c>
      <c r="C26" s="4" t="s">
        <v>197</v>
      </c>
      <c r="D26" s="5">
        <v>59.9</v>
      </c>
      <c r="E26" s="17">
        <f t="shared" si="0"/>
        <v>2995</v>
      </c>
      <c r="F26" s="30">
        <f t="shared" si="1"/>
        <v>68.884999999999991</v>
      </c>
    </row>
    <row r="27" spans="1:9" x14ac:dyDescent="0.3">
      <c r="A27" s="29" t="s">
        <v>13</v>
      </c>
      <c r="B27" s="4" t="s">
        <v>88</v>
      </c>
      <c r="C27" s="4" t="s">
        <v>198</v>
      </c>
      <c r="D27" s="5">
        <v>59.9</v>
      </c>
      <c r="E27" s="17">
        <f t="shared" si="0"/>
        <v>2995</v>
      </c>
      <c r="F27" s="30">
        <f t="shared" si="1"/>
        <v>68.884999999999991</v>
      </c>
    </row>
    <row r="28" spans="1:9" x14ac:dyDescent="0.3">
      <c r="A28" s="29" t="s">
        <v>20</v>
      </c>
      <c r="B28" s="4" t="s">
        <v>88</v>
      </c>
      <c r="C28" s="4" t="s">
        <v>199</v>
      </c>
      <c r="D28" s="5">
        <v>59.9</v>
      </c>
      <c r="E28" s="17">
        <f t="shared" si="0"/>
        <v>2995</v>
      </c>
      <c r="F28" s="30">
        <f t="shared" si="1"/>
        <v>68.884999999999991</v>
      </c>
    </row>
    <row r="29" spans="1:9" x14ac:dyDescent="0.3">
      <c r="A29" s="29" t="s">
        <v>22</v>
      </c>
      <c r="B29" s="4" t="s">
        <v>88</v>
      </c>
      <c r="C29" s="4" t="s">
        <v>200</v>
      </c>
      <c r="D29" s="5">
        <v>59.9</v>
      </c>
      <c r="E29" s="17">
        <f t="shared" si="0"/>
        <v>2995</v>
      </c>
      <c r="F29" s="30">
        <f t="shared" si="1"/>
        <v>68.884999999999991</v>
      </c>
    </row>
    <row r="30" spans="1:9" x14ac:dyDescent="0.3">
      <c r="A30" s="29" t="s">
        <v>30</v>
      </c>
      <c r="B30" s="4" t="s">
        <v>89</v>
      </c>
      <c r="C30" s="4" t="s">
        <v>201</v>
      </c>
      <c r="D30" s="5">
        <v>59.9</v>
      </c>
      <c r="E30" s="17">
        <f t="shared" si="0"/>
        <v>2995</v>
      </c>
      <c r="F30" s="30">
        <f t="shared" si="1"/>
        <v>68.884999999999991</v>
      </c>
    </row>
    <row r="31" spans="1:9" x14ac:dyDescent="0.3">
      <c r="A31" s="29" t="s">
        <v>31</v>
      </c>
      <c r="B31" s="4" t="s">
        <v>89</v>
      </c>
      <c r="C31" s="4" t="s">
        <v>201</v>
      </c>
      <c r="D31" s="5">
        <v>59.9</v>
      </c>
      <c r="E31" s="17">
        <f t="shared" si="0"/>
        <v>2995</v>
      </c>
      <c r="F31" s="30">
        <f t="shared" si="1"/>
        <v>68.884999999999991</v>
      </c>
      <c r="I31" s="31"/>
    </row>
    <row r="32" spans="1:9" x14ac:dyDescent="0.3">
      <c r="A32" s="29" t="s">
        <v>37</v>
      </c>
      <c r="B32" s="4" t="s">
        <v>88</v>
      </c>
      <c r="C32" s="4" t="s">
        <v>202</v>
      </c>
      <c r="D32" s="5">
        <v>59.9</v>
      </c>
      <c r="E32" s="17">
        <f t="shared" si="0"/>
        <v>2995</v>
      </c>
      <c r="F32" s="30">
        <f t="shared" si="1"/>
        <v>68.884999999999991</v>
      </c>
    </row>
    <row r="33" spans="1:6" x14ac:dyDescent="0.3">
      <c r="A33" s="29" t="s">
        <v>42</v>
      </c>
      <c r="B33" s="4" t="s">
        <v>88</v>
      </c>
      <c r="C33" s="4" t="s">
        <v>200</v>
      </c>
      <c r="D33" s="5">
        <v>59.9</v>
      </c>
      <c r="E33" s="17">
        <f t="shared" si="0"/>
        <v>2995</v>
      </c>
      <c r="F33" s="30">
        <f t="shared" si="1"/>
        <v>68.884999999999991</v>
      </c>
    </row>
    <row r="34" spans="1:6" x14ac:dyDescent="0.3">
      <c r="A34" s="29" t="s">
        <v>43</v>
      </c>
      <c r="B34" s="4" t="s">
        <v>88</v>
      </c>
      <c r="C34" s="4" t="s">
        <v>203</v>
      </c>
      <c r="D34" s="5">
        <v>59.9</v>
      </c>
      <c r="E34" s="17">
        <f t="shared" si="0"/>
        <v>2995</v>
      </c>
      <c r="F34" s="30">
        <f t="shared" si="1"/>
        <v>68.884999999999991</v>
      </c>
    </row>
    <row r="35" spans="1:6" x14ac:dyDescent="0.3">
      <c r="A35" s="29" t="s">
        <v>48</v>
      </c>
      <c r="B35" s="4" t="s">
        <v>88</v>
      </c>
      <c r="C35" s="4" t="s">
        <v>199</v>
      </c>
      <c r="D35" s="5">
        <v>59.9</v>
      </c>
      <c r="E35" s="17">
        <f t="shared" ref="E35:E66" si="2">+D35*EURKUR</f>
        <v>2995</v>
      </c>
      <c r="F35" s="30">
        <f t="shared" si="1"/>
        <v>68.884999999999991</v>
      </c>
    </row>
    <row r="36" spans="1:6" x14ac:dyDescent="0.3">
      <c r="A36" s="29" t="s">
        <v>123</v>
      </c>
      <c r="B36" s="4" t="s">
        <v>89</v>
      </c>
      <c r="C36" s="4" t="s">
        <v>204</v>
      </c>
      <c r="D36" s="5">
        <v>59.9</v>
      </c>
      <c r="E36" s="17">
        <f t="shared" si="2"/>
        <v>2995</v>
      </c>
      <c r="F36" s="30">
        <f t="shared" si="1"/>
        <v>68.884999999999991</v>
      </c>
    </row>
    <row r="37" spans="1:6" x14ac:dyDescent="0.3">
      <c r="A37" s="29" t="s">
        <v>55</v>
      </c>
      <c r="B37" s="4" t="s">
        <v>89</v>
      </c>
      <c r="C37" s="4" t="s">
        <v>204</v>
      </c>
      <c r="D37" s="5">
        <v>59.9</v>
      </c>
      <c r="E37" s="17">
        <f t="shared" si="2"/>
        <v>2995</v>
      </c>
      <c r="F37" s="30">
        <f t="shared" si="1"/>
        <v>68.884999999999991</v>
      </c>
    </row>
    <row r="38" spans="1:6" x14ac:dyDescent="0.3">
      <c r="A38" s="29" t="s">
        <v>66</v>
      </c>
      <c r="B38" s="4" t="s">
        <v>88</v>
      </c>
      <c r="C38" s="4" t="s">
        <v>205</v>
      </c>
      <c r="D38" s="5">
        <v>59.9</v>
      </c>
      <c r="E38" s="17">
        <f t="shared" si="2"/>
        <v>2995</v>
      </c>
      <c r="F38" s="30">
        <f t="shared" si="1"/>
        <v>68.884999999999991</v>
      </c>
    </row>
    <row r="39" spans="1:6" x14ac:dyDescent="0.3">
      <c r="A39" s="29" t="s">
        <v>68</v>
      </c>
      <c r="B39" s="4" t="s">
        <v>88</v>
      </c>
      <c r="C39" s="4" t="s">
        <v>199</v>
      </c>
      <c r="D39" s="5">
        <v>59.9</v>
      </c>
      <c r="E39" s="17">
        <f t="shared" si="2"/>
        <v>2995</v>
      </c>
      <c r="F39" s="30">
        <f t="shared" si="1"/>
        <v>68.884999999999991</v>
      </c>
    </row>
    <row r="40" spans="1:6" x14ac:dyDescent="0.3">
      <c r="A40" s="29" t="s">
        <v>69</v>
      </c>
      <c r="B40" s="4" t="s">
        <v>88</v>
      </c>
      <c r="C40" s="4" t="s">
        <v>199</v>
      </c>
      <c r="D40" s="5">
        <v>59.9</v>
      </c>
      <c r="E40" s="17">
        <f t="shared" si="2"/>
        <v>2995</v>
      </c>
      <c r="F40" s="30">
        <f t="shared" si="1"/>
        <v>68.884999999999991</v>
      </c>
    </row>
    <row r="41" spans="1:6" x14ac:dyDescent="0.3">
      <c r="A41" s="29" t="s">
        <v>7</v>
      </c>
      <c r="B41" s="4" t="s">
        <v>88</v>
      </c>
      <c r="C41" s="4" t="s">
        <v>206</v>
      </c>
      <c r="D41" s="5">
        <v>69.900000000000006</v>
      </c>
      <c r="E41" s="17">
        <f t="shared" si="2"/>
        <v>3495.0000000000005</v>
      </c>
      <c r="F41" s="30">
        <f t="shared" si="1"/>
        <v>80.385000000000005</v>
      </c>
    </row>
    <row r="42" spans="1:6" x14ac:dyDescent="0.3">
      <c r="A42" s="29" t="s">
        <v>19</v>
      </c>
      <c r="B42" s="4" t="s">
        <v>88</v>
      </c>
      <c r="C42" s="4" t="s">
        <v>207</v>
      </c>
      <c r="D42" s="5">
        <v>69.900000000000006</v>
      </c>
      <c r="E42" s="17">
        <f t="shared" si="2"/>
        <v>3495.0000000000005</v>
      </c>
      <c r="F42" s="30">
        <f t="shared" si="1"/>
        <v>80.385000000000005</v>
      </c>
    </row>
    <row r="43" spans="1:6" x14ac:dyDescent="0.3">
      <c r="A43" s="29" t="s">
        <v>208</v>
      </c>
      <c r="B43" s="4" t="s">
        <v>88</v>
      </c>
      <c r="C43" s="4" t="s">
        <v>209</v>
      </c>
      <c r="D43" s="5">
        <v>69.900000000000006</v>
      </c>
      <c r="E43" s="17">
        <f t="shared" si="2"/>
        <v>3495.0000000000005</v>
      </c>
      <c r="F43" s="30">
        <f t="shared" si="1"/>
        <v>80.385000000000005</v>
      </c>
    </row>
    <row r="44" spans="1:6" x14ac:dyDescent="0.3">
      <c r="A44" s="29" t="s">
        <v>21</v>
      </c>
      <c r="B44" s="4" t="s">
        <v>88</v>
      </c>
      <c r="C44" s="4" t="s">
        <v>210</v>
      </c>
      <c r="D44" s="5">
        <v>69.900000000000006</v>
      </c>
      <c r="E44" s="17">
        <f t="shared" si="2"/>
        <v>3495.0000000000005</v>
      </c>
      <c r="F44" s="30">
        <f t="shared" si="1"/>
        <v>80.385000000000005</v>
      </c>
    </row>
    <row r="45" spans="1:6" x14ac:dyDescent="0.3">
      <c r="A45" s="29" t="s">
        <v>211</v>
      </c>
      <c r="B45" s="4" t="s">
        <v>88</v>
      </c>
      <c r="C45" s="4" t="s">
        <v>212</v>
      </c>
      <c r="D45" s="5">
        <v>69.900000000000006</v>
      </c>
      <c r="E45" s="17">
        <f t="shared" si="2"/>
        <v>3495.0000000000005</v>
      </c>
      <c r="F45" s="30">
        <f t="shared" si="1"/>
        <v>80.385000000000005</v>
      </c>
    </row>
    <row r="46" spans="1:6" x14ac:dyDescent="0.3">
      <c r="A46" s="29" t="s">
        <v>24</v>
      </c>
      <c r="B46" s="4" t="s">
        <v>89</v>
      </c>
      <c r="C46" s="4" t="s">
        <v>213</v>
      </c>
      <c r="D46" s="5">
        <v>69.900000000000006</v>
      </c>
      <c r="E46" s="17">
        <f t="shared" si="2"/>
        <v>3495.0000000000005</v>
      </c>
      <c r="F46" s="30">
        <f t="shared" si="1"/>
        <v>80.385000000000005</v>
      </c>
    </row>
    <row r="47" spans="1:6" x14ac:dyDescent="0.3">
      <c r="A47" s="29" t="s">
        <v>131</v>
      </c>
      <c r="B47" s="4" t="s">
        <v>89</v>
      </c>
      <c r="C47" s="4" t="s">
        <v>213</v>
      </c>
      <c r="D47" s="5">
        <v>69.900000000000006</v>
      </c>
      <c r="E47" s="17">
        <f t="shared" si="2"/>
        <v>3495.0000000000005</v>
      </c>
      <c r="F47" s="30">
        <f t="shared" si="1"/>
        <v>80.385000000000005</v>
      </c>
    </row>
    <row r="48" spans="1:6" x14ac:dyDescent="0.3">
      <c r="A48" s="29" t="s">
        <v>132</v>
      </c>
      <c r="B48" s="4" t="s">
        <v>89</v>
      </c>
      <c r="C48" s="4" t="s">
        <v>214</v>
      </c>
      <c r="D48" s="5">
        <v>69.900000000000006</v>
      </c>
      <c r="E48" s="17">
        <f t="shared" si="2"/>
        <v>3495.0000000000005</v>
      </c>
      <c r="F48" s="30">
        <f t="shared" si="1"/>
        <v>80.385000000000005</v>
      </c>
    </row>
    <row r="49" spans="1:6" x14ac:dyDescent="0.3">
      <c r="A49" s="29" t="s">
        <v>36</v>
      </c>
      <c r="B49" s="4" t="s">
        <v>88</v>
      </c>
      <c r="C49" s="4" t="s">
        <v>215</v>
      </c>
      <c r="D49" s="5">
        <v>69.900000000000006</v>
      </c>
      <c r="E49" s="17">
        <f t="shared" si="2"/>
        <v>3495.0000000000005</v>
      </c>
      <c r="F49" s="30">
        <f t="shared" si="1"/>
        <v>80.385000000000005</v>
      </c>
    </row>
    <row r="50" spans="1:6" x14ac:dyDescent="0.3">
      <c r="A50" s="29" t="s">
        <v>38</v>
      </c>
      <c r="B50" s="4" t="s">
        <v>89</v>
      </c>
      <c r="C50" s="4" t="s">
        <v>216</v>
      </c>
      <c r="D50" s="5">
        <v>69.900000000000006</v>
      </c>
      <c r="E50" s="17">
        <f t="shared" si="2"/>
        <v>3495.0000000000005</v>
      </c>
      <c r="F50" s="30">
        <f t="shared" si="1"/>
        <v>80.385000000000005</v>
      </c>
    </row>
    <row r="51" spans="1:6" x14ac:dyDescent="0.3">
      <c r="A51" s="29" t="s">
        <v>41</v>
      </c>
      <c r="B51" s="4" t="s">
        <v>88</v>
      </c>
      <c r="C51" s="4" t="s">
        <v>210</v>
      </c>
      <c r="D51" s="5">
        <v>69.900000000000006</v>
      </c>
      <c r="E51" s="17">
        <f t="shared" si="2"/>
        <v>3495.0000000000005</v>
      </c>
      <c r="F51" s="30">
        <f t="shared" si="1"/>
        <v>80.385000000000005</v>
      </c>
    </row>
    <row r="52" spans="1:6" x14ac:dyDescent="0.3">
      <c r="A52" s="29" t="s">
        <v>52</v>
      </c>
      <c r="B52" s="4" t="s">
        <v>88</v>
      </c>
      <c r="C52" s="4" t="s">
        <v>217</v>
      </c>
      <c r="D52" s="5">
        <v>69.900000000000006</v>
      </c>
      <c r="E52" s="17">
        <f t="shared" si="2"/>
        <v>3495.0000000000005</v>
      </c>
      <c r="F52" s="30">
        <f t="shared" si="1"/>
        <v>80.385000000000005</v>
      </c>
    </row>
    <row r="53" spans="1:6" x14ac:dyDescent="0.3">
      <c r="A53" s="29" t="s">
        <v>54</v>
      </c>
      <c r="B53" s="4" t="s">
        <v>88</v>
      </c>
      <c r="C53" s="4" t="s">
        <v>218</v>
      </c>
      <c r="D53" s="5">
        <v>69.900000000000006</v>
      </c>
      <c r="E53" s="17">
        <f t="shared" si="2"/>
        <v>3495.0000000000005</v>
      </c>
      <c r="F53" s="30">
        <f t="shared" si="1"/>
        <v>80.385000000000005</v>
      </c>
    </row>
    <row r="54" spans="1:6" x14ac:dyDescent="0.3">
      <c r="A54" s="29" t="s">
        <v>58</v>
      </c>
      <c r="B54" s="4" t="s">
        <v>88</v>
      </c>
      <c r="C54" s="4" t="s">
        <v>218</v>
      </c>
      <c r="D54" s="5">
        <v>69.900000000000006</v>
      </c>
      <c r="E54" s="17">
        <f t="shared" si="2"/>
        <v>3495.0000000000005</v>
      </c>
      <c r="F54" s="30">
        <f t="shared" si="1"/>
        <v>80.385000000000005</v>
      </c>
    </row>
    <row r="55" spans="1:6" x14ac:dyDescent="0.3">
      <c r="A55" s="29" t="s">
        <v>59</v>
      </c>
      <c r="B55" s="4" t="s">
        <v>88</v>
      </c>
      <c r="C55" s="4" t="s">
        <v>219</v>
      </c>
      <c r="D55" s="5">
        <v>69.900000000000006</v>
      </c>
      <c r="E55" s="17">
        <f t="shared" si="2"/>
        <v>3495.0000000000005</v>
      </c>
      <c r="F55" s="30">
        <f t="shared" si="1"/>
        <v>80.385000000000005</v>
      </c>
    </row>
    <row r="56" spans="1:6" x14ac:dyDescent="0.3">
      <c r="A56" s="29" t="s">
        <v>65</v>
      </c>
      <c r="B56" s="4" t="s">
        <v>88</v>
      </c>
      <c r="C56" s="4" t="s">
        <v>220</v>
      </c>
      <c r="D56" s="5">
        <v>69.900000000000006</v>
      </c>
      <c r="E56" s="17">
        <f t="shared" si="2"/>
        <v>3495.0000000000005</v>
      </c>
      <c r="F56" s="30">
        <f t="shared" si="1"/>
        <v>80.385000000000005</v>
      </c>
    </row>
    <row r="57" spans="1:6" x14ac:dyDescent="0.3">
      <c r="A57" s="29" t="s">
        <v>72</v>
      </c>
      <c r="B57" s="4" t="s">
        <v>89</v>
      </c>
      <c r="C57" s="4" t="s">
        <v>221</v>
      </c>
      <c r="D57" s="5">
        <v>69.900000000000006</v>
      </c>
      <c r="E57" s="17">
        <f t="shared" si="2"/>
        <v>3495.0000000000005</v>
      </c>
      <c r="F57" s="30">
        <f t="shared" si="1"/>
        <v>80.385000000000005</v>
      </c>
    </row>
    <row r="58" spans="1:6" x14ac:dyDescent="0.3">
      <c r="A58" s="29" t="s">
        <v>141</v>
      </c>
      <c r="B58" s="4" t="s">
        <v>89</v>
      </c>
      <c r="C58" s="4" t="s">
        <v>221</v>
      </c>
      <c r="D58" s="5">
        <v>69.900000000000006</v>
      </c>
      <c r="E58" s="17">
        <f t="shared" si="2"/>
        <v>3495.0000000000005</v>
      </c>
      <c r="F58" s="30">
        <f t="shared" si="1"/>
        <v>80.385000000000005</v>
      </c>
    </row>
    <row r="59" spans="1:6" x14ac:dyDescent="0.3">
      <c r="A59" s="29" t="s">
        <v>73</v>
      </c>
      <c r="B59" s="4" t="s">
        <v>88</v>
      </c>
      <c r="C59" s="4" t="s">
        <v>207</v>
      </c>
      <c r="D59" s="5">
        <v>69.900000000000006</v>
      </c>
      <c r="E59" s="17">
        <f t="shared" si="2"/>
        <v>3495.0000000000005</v>
      </c>
      <c r="F59" s="30">
        <f t="shared" si="1"/>
        <v>80.385000000000005</v>
      </c>
    </row>
    <row r="60" spans="1:6" x14ac:dyDescent="0.3">
      <c r="A60" s="29" t="s">
        <v>74</v>
      </c>
      <c r="B60" s="4" t="s">
        <v>88</v>
      </c>
      <c r="C60" s="4" t="s">
        <v>207</v>
      </c>
      <c r="D60" s="5">
        <v>69.900000000000006</v>
      </c>
      <c r="E60" s="17">
        <f t="shared" si="2"/>
        <v>3495.0000000000005</v>
      </c>
      <c r="F60" s="30">
        <f t="shared" si="1"/>
        <v>80.385000000000005</v>
      </c>
    </row>
    <row r="61" spans="1:6" x14ac:dyDescent="0.3">
      <c r="A61" s="29" t="s">
        <v>75</v>
      </c>
      <c r="B61" s="4" t="s">
        <v>89</v>
      </c>
      <c r="C61" s="4" t="s">
        <v>222</v>
      </c>
      <c r="D61" s="5">
        <v>69.900000000000006</v>
      </c>
      <c r="E61" s="17">
        <f t="shared" si="2"/>
        <v>3495.0000000000005</v>
      </c>
      <c r="F61" s="30">
        <f t="shared" si="1"/>
        <v>80.385000000000005</v>
      </c>
    </row>
    <row r="62" spans="1:6" x14ac:dyDescent="0.3">
      <c r="A62" s="29" t="s">
        <v>143</v>
      </c>
      <c r="B62" s="4" t="s">
        <v>89</v>
      </c>
      <c r="C62" s="4" t="s">
        <v>222</v>
      </c>
      <c r="D62" s="5">
        <v>69.900000000000006</v>
      </c>
      <c r="E62" s="17">
        <f t="shared" si="2"/>
        <v>3495.0000000000005</v>
      </c>
      <c r="F62" s="30">
        <f t="shared" si="1"/>
        <v>80.385000000000005</v>
      </c>
    </row>
    <row r="63" spans="1:6" x14ac:dyDescent="0.3">
      <c r="A63" s="29" t="s">
        <v>78</v>
      </c>
      <c r="B63" s="4" t="s">
        <v>88</v>
      </c>
      <c r="C63" s="4" t="s">
        <v>210</v>
      </c>
      <c r="D63" s="5">
        <v>69.900000000000006</v>
      </c>
      <c r="E63" s="17">
        <f t="shared" si="2"/>
        <v>3495.0000000000005</v>
      </c>
      <c r="F63" s="30">
        <f t="shared" si="1"/>
        <v>80.385000000000005</v>
      </c>
    </row>
    <row r="64" spans="1:6" x14ac:dyDescent="0.3">
      <c r="A64" s="29" t="s">
        <v>3</v>
      </c>
      <c r="B64" s="4" t="s">
        <v>88</v>
      </c>
      <c r="C64" s="4" t="s">
        <v>223</v>
      </c>
      <c r="D64" s="5">
        <v>79.900000000000006</v>
      </c>
      <c r="E64" s="17">
        <f t="shared" si="2"/>
        <v>3995.0000000000005</v>
      </c>
      <c r="F64" s="30">
        <f t="shared" si="1"/>
        <v>91.885000000000005</v>
      </c>
    </row>
    <row r="65" spans="1:6" x14ac:dyDescent="0.3">
      <c r="A65" s="29" t="s">
        <v>6</v>
      </c>
      <c r="B65" s="4" t="s">
        <v>88</v>
      </c>
      <c r="C65" s="4" t="s">
        <v>224</v>
      </c>
      <c r="D65" s="5">
        <v>79.900000000000006</v>
      </c>
      <c r="E65" s="17">
        <f t="shared" si="2"/>
        <v>3995.0000000000005</v>
      </c>
      <c r="F65" s="30">
        <f t="shared" si="1"/>
        <v>91.885000000000005</v>
      </c>
    </row>
    <row r="66" spans="1:6" x14ac:dyDescent="0.3">
      <c r="A66" s="29" t="s">
        <v>8</v>
      </c>
      <c r="B66" s="4" t="s">
        <v>88</v>
      </c>
      <c r="C66" s="4" t="s">
        <v>225</v>
      </c>
      <c r="D66" s="5">
        <v>79.900000000000006</v>
      </c>
      <c r="E66" s="17">
        <f t="shared" si="2"/>
        <v>3995.0000000000005</v>
      </c>
      <c r="F66" s="30">
        <f t="shared" si="1"/>
        <v>91.885000000000005</v>
      </c>
    </row>
    <row r="67" spans="1:6" x14ac:dyDescent="0.3">
      <c r="A67" s="29" t="s">
        <v>12</v>
      </c>
      <c r="B67" s="4" t="s">
        <v>88</v>
      </c>
      <c r="C67" s="4" t="s">
        <v>226</v>
      </c>
      <c r="D67" s="5">
        <v>79.900000000000006</v>
      </c>
      <c r="E67" s="17">
        <f t="shared" ref="E67:E98" si="3">+D67*EURKUR</f>
        <v>3995.0000000000005</v>
      </c>
      <c r="F67" s="30">
        <f t="shared" si="1"/>
        <v>91.885000000000005</v>
      </c>
    </row>
    <row r="68" spans="1:6" x14ac:dyDescent="0.3">
      <c r="A68" s="29" t="s">
        <v>16</v>
      </c>
      <c r="B68" s="4" t="s">
        <v>88</v>
      </c>
      <c r="C68" s="4" t="s">
        <v>227</v>
      </c>
      <c r="D68" s="5">
        <v>79.900000000000006</v>
      </c>
      <c r="E68" s="17">
        <f t="shared" si="3"/>
        <v>3995.0000000000005</v>
      </c>
      <c r="F68" s="30">
        <f t="shared" ref="F68:F101" si="4">+D68*$F$1</f>
        <v>91.885000000000005</v>
      </c>
    </row>
    <row r="69" spans="1:6" x14ac:dyDescent="0.3">
      <c r="A69" s="29" t="s">
        <v>17</v>
      </c>
      <c r="B69" s="4" t="s">
        <v>88</v>
      </c>
      <c r="C69" s="4" t="s">
        <v>228</v>
      </c>
      <c r="D69" s="5">
        <v>79.900000000000006</v>
      </c>
      <c r="E69" s="17">
        <f t="shared" si="3"/>
        <v>3995.0000000000005</v>
      </c>
      <c r="F69" s="30">
        <f t="shared" si="4"/>
        <v>91.885000000000005</v>
      </c>
    </row>
    <row r="70" spans="1:6" x14ac:dyDescent="0.3">
      <c r="A70" s="29" t="s">
        <v>26</v>
      </c>
      <c r="B70" s="4" t="s">
        <v>88</v>
      </c>
      <c r="C70" s="4" t="s">
        <v>229</v>
      </c>
      <c r="D70" s="5">
        <v>79.900000000000006</v>
      </c>
      <c r="E70" s="17">
        <f t="shared" si="3"/>
        <v>3995.0000000000005</v>
      </c>
      <c r="F70" s="30">
        <f t="shared" si="4"/>
        <v>91.885000000000005</v>
      </c>
    </row>
    <row r="71" spans="1:6" x14ac:dyDescent="0.3">
      <c r="A71" s="29" t="s">
        <v>34</v>
      </c>
      <c r="B71" s="4" t="s">
        <v>88</v>
      </c>
      <c r="C71" s="4" t="s">
        <v>230</v>
      </c>
      <c r="D71" s="5">
        <v>79.900000000000006</v>
      </c>
      <c r="E71" s="17">
        <f t="shared" si="3"/>
        <v>3995.0000000000005</v>
      </c>
      <c r="F71" s="30">
        <f t="shared" si="4"/>
        <v>91.885000000000005</v>
      </c>
    </row>
    <row r="72" spans="1:6" x14ac:dyDescent="0.3">
      <c r="A72" s="29" t="s">
        <v>39</v>
      </c>
      <c r="B72" s="4" t="s">
        <v>88</v>
      </c>
      <c r="C72" s="4" t="s">
        <v>231</v>
      </c>
      <c r="D72" s="5">
        <v>79.900000000000006</v>
      </c>
      <c r="E72" s="17">
        <f t="shared" si="3"/>
        <v>3995.0000000000005</v>
      </c>
      <c r="F72" s="30">
        <f t="shared" si="4"/>
        <v>91.885000000000005</v>
      </c>
    </row>
    <row r="73" spans="1:6" x14ac:dyDescent="0.3">
      <c r="A73" s="29" t="s">
        <v>40</v>
      </c>
      <c r="B73" s="4" t="s">
        <v>88</v>
      </c>
      <c r="C73" s="4" t="s">
        <v>232</v>
      </c>
      <c r="D73" s="5">
        <v>79.900000000000006</v>
      </c>
      <c r="E73" s="17">
        <f t="shared" si="3"/>
        <v>3995.0000000000005</v>
      </c>
      <c r="F73" s="30">
        <f t="shared" si="4"/>
        <v>91.885000000000005</v>
      </c>
    </row>
    <row r="74" spans="1:6" x14ac:dyDescent="0.3">
      <c r="A74" s="29" t="s">
        <v>44</v>
      </c>
      <c r="B74" s="4" t="s">
        <v>88</v>
      </c>
      <c r="C74" s="4" t="s">
        <v>233</v>
      </c>
      <c r="D74" s="5">
        <v>79.900000000000006</v>
      </c>
      <c r="E74" s="17">
        <f t="shared" si="3"/>
        <v>3995.0000000000005</v>
      </c>
      <c r="F74" s="30">
        <f t="shared" si="4"/>
        <v>91.885000000000005</v>
      </c>
    </row>
    <row r="75" spans="1:6" x14ac:dyDescent="0.3">
      <c r="A75" s="29" t="s">
        <v>46</v>
      </c>
      <c r="B75" s="4" t="s">
        <v>88</v>
      </c>
      <c r="C75" s="4" t="s">
        <v>228</v>
      </c>
      <c r="D75" s="5">
        <v>79.900000000000006</v>
      </c>
      <c r="E75" s="17">
        <f t="shared" si="3"/>
        <v>3995.0000000000005</v>
      </c>
      <c r="F75" s="30">
        <f t="shared" si="4"/>
        <v>91.885000000000005</v>
      </c>
    </row>
    <row r="76" spans="1:6" x14ac:dyDescent="0.3">
      <c r="A76" s="29" t="s">
        <v>51</v>
      </c>
      <c r="B76" s="4" t="s">
        <v>88</v>
      </c>
      <c r="C76" s="4" t="s">
        <v>234</v>
      </c>
      <c r="D76" s="5">
        <v>79.900000000000006</v>
      </c>
      <c r="E76" s="17">
        <f t="shared" si="3"/>
        <v>3995.0000000000005</v>
      </c>
      <c r="F76" s="30">
        <f t="shared" si="4"/>
        <v>91.885000000000005</v>
      </c>
    </row>
    <row r="77" spans="1:6" x14ac:dyDescent="0.3">
      <c r="A77" s="29" t="s">
        <v>53</v>
      </c>
      <c r="B77" s="4" t="s">
        <v>88</v>
      </c>
      <c r="C77" s="4" t="s">
        <v>235</v>
      </c>
      <c r="D77" s="5">
        <v>79.900000000000006</v>
      </c>
      <c r="E77" s="17">
        <f t="shared" si="3"/>
        <v>3995.0000000000005</v>
      </c>
      <c r="F77" s="30">
        <f t="shared" si="4"/>
        <v>91.885000000000005</v>
      </c>
    </row>
    <row r="78" spans="1:6" x14ac:dyDescent="0.3">
      <c r="A78" s="29" t="s">
        <v>57</v>
      </c>
      <c r="B78" s="4" t="s">
        <v>88</v>
      </c>
      <c r="C78" s="4" t="s">
        <v>235</v>
      </c>
      <c r="D78" s="5">
        <v>79.900000000000006</v>
      </c>
      <c r="E78" s="17">
        <f t="shared" si="3"/>
        <v>3995.0000000000005</v>
      </c>
      <c r="F78" s="30">
        <f t="shared" si="4"/>
        <v>91.885000000000005</v>
      </c>
    </row>
    <row r="79" spans="1:6" x14ac:dyDescent="0.3">
      <c r="A79" s="29" t="s">
        <v>76</v>
      </c>
      <c r="B79" s="4" t="s">
        <v>89</v>
      </c>
      <c r="C79" s="4" t="s">
        <v>236</v>
      </c>
      <c r="D79" s="5">
        <v>79.900000000000006</v>
      </c>
      <c r="E79" s="17">
        <f t="shared" si="3"/>
        <v>3995.0000000000005</v>
      </c>
      <c r="F79" s="30">
        <f t="shared" si="4"/>
        <v>91.885000000000005</v>
      </c>
    </row>
    <row r="80" spans="1:6" x14ac:dyDescent="0.3">
      <c r="A80" s="29" t="s">
        <v>158</v>
      </c>
      <c r="B80" s="4" t="s">
        <v>89</v>
      </c>
      <c r="C80" s="4" t="s">
        <v>236</v>
      </c>
      <c r="D80" s="5">
        <v>79.900000000000006</v>
      </c>
      <c r="E80" s="17">
        <f t="shared" si="3"/>
        <v>3995.0000000000005</v>
      </c>
      <c r="F80" s="30">
        <f t="shared" si="4"/>
        <v>91.885000000000005</v>
      </c>
    </row>
    <row r="81" spans="1:6" x14ac:dyDescent="0.3">
      <c r="A81" s="29" t="s">
        <v>18</v>
      </c>
      <c r="B81" s="4" t="s">
        <v>89</v>
      </c>
      <c r="C81" s="4" t="s">
        <v>237</v>
      </c>
      <c r="D81" s="5">
        <v>84.9</v>
      </c>
      <c r="E81" s="17">
        <f t="shared" si="3"/>
        <v>4245</v>
      </c>
      <c r="F81" s="30">
        <f t="shared" si="4"/>
        <v>97.635000000000005</v>
      </c>
    </row>
    <row r="82" spans="1:6" x14ac:dyDescent="0.3">
      <c r="A82" s="29" t="s">
        <v>160</v>
      </c>
      <c r="B82" s="4" t="s">
        <v>89</v>
      </c>
      <c r="C82" s="4" t="s">
        <v>237</v>
      </c>
      <c r="D82" s="5">
        <v>84.9</v>
      </c>
      <c r="E82" s="17">
        <f t="shared" si="3"/>
        <v>4245</v>
      </c>
      <c r="F82" s="30">
        <f t="shared" si="4"/>
        <v>97.635000000000005</v>
      </c>
    </row>
    <row r="83" spans="1:6" x14ac:dyDescent="0.3">
      <c r="A83" s="29" t="s">
        <v>77</v>
      </c>
      <c r="B83" s="4" t="s">
        <v>89</v>
      </c>
      <c r="C83" s="4" t="s">
        <v>238</v>
      </c>
      <c r="D83" s="5">
        <v>84.9</v>
      </c>
      <c r="E83" s="17">
        <f t="shared" si="3"/>
        <v>4245</v>
      </c>
      <c r="F83" s="30">
        <f t="shared" si="4"/>
        <v>97.635000000000005</v>
      </c>
    </row>
    <row r="84" spans="1:6" x14ac:dyDescent="0.3">
      <c r="A84" s="29" t="s">
        <v>162</v>
      </c>
      <c r="B84" s="4" t="s">
        <v>89</v>
      </c>
      <c r="C84" s="4" t="s">
        <v>238</v>
      </c>
      <c r="D84" s="5">
        <v>84.9</v>
      </c>
      <c r="E84" s="17">
        <f t="shared" si="3"/>
        <v>4245</v>
      </c>
      <c r="F84" s="30">
        <f t="shared" si="4"/>
        <v>97.635000000000005</v>
      </c>
    </row>
    <row r="85" spans="1:6" x14ac:dyDescent="0.3">
      <c r="A85" s="29" t="s">
        <v>35</v>
      </c>
      <c r="B85" s="4" t="s">
        <v>88</v>
      </c>
      <c r="C85" s="4" t="s">
        <v>239</v>
      </c>
      <c r="D85" s="5">
        <v>89.9</v>
      </c>
      <c r="E85" s="17">
        <f t="shared" si="3"/>
        <v>4495</v>
      </c>
      <c r="F85" s="30">
        <f t="shared" si="4"/>
        <v>103.38500000000001</v>
      </c>
    </row>
    <row r="86" spans="1:6" x14ac:dyDescent="0.3">
      <c r="A86" s="29" t="s">
        <v>60</v>
      </c>
      <c r="B86" s="4" t="s">
        <v>89</v>
      </c>
      <c r="C86" s="4" t="s">
        <v>240</v>
      </c>
      <c r="D86" s="5">
        <v>89.9</v>
      </c>
      <c r="E86" s="17">
        <f t="shared" si="3"/>
        <v>4495</v>
      </c>
      <c r="F86" s="30">
        <f t="shared" si="4"/>
        <v>103.38500000000001</v>
      </c>
    </row>
    <row r="87" spans="1:6" x14ac:dyDescent="0.3">
      <c r="A87" s="29" t="s">
        <v>165</v>
      </c>
      <c r="B87" s="4" t="s">
        <v>89</v>
      </c>
      <c r="C87" s="4" t="s">
        <v>240</v>
      </c>
      <c r="D87" s="5">
        <v>89.9</v>
      </c>
      <c r="E87" s="17">
        <f t="shared" si="3"/>
        <v>4495</v>
      </c>
      <c r="F87" s="30">
        <f t="shared" si="4"/>
        <v>103.38500000000001</v>
      </c>
    </row>
    <row r="88" spans="1:6" x14ac:dyDescent="0.3">
      <c r="A88" s="29" t="s">
        <v>4</v>
      </c>
      <c r="B88" s="4" t="s">
        <v>88</v>
      </c>
      <c r="C88" s="4" t="s">
        <v>241</v>
      </c>
      <c r="D88" s="5">
        <v>99.9</v>
      </c>
      <c r="E88" s="17">
        <f t="shared" si="3"/>
        <v>4995</v>
      </c>
      <c r="F88" s="30">
        <f t="shared" si="4"/>
        <v>114.88499999999999</v>
      </c>
    </row>
    <row r="89" spans="1:6" x14ac:dyDescent="0.3">
      <c r="A89" s="29" t="s">
        <v>63</v>
      </c>
      <c r="B89" s="4" t="s">
        <v>87</v>
      </c>
      <c r="C89" s="4" t="s">
        <v>242</v>
      </c>
      <c r="D89" s="5">
        <v>99.9</v>
      </c>
      <c r="E89" s="17">
        <f t="shared" si="3"/>
        <v>4995</v>
      </c>
      <c r="F89" s="30">
        <f t="shared" si="4"/>
        <v>114.88499999999999</v>
      </c>
    </row>
    <row r="90" spans="1:6" x14ac:dyDescent="0.3">
      <c r="A90" s="29" t="s">
        <v>9</v>
      </c>
      <c r="B90" s="4" t="s">
        <v>88</v>
      </c>
      <c r="C90" s="4" t="s">
        <v>243</v>
      </c>
      <c r="D90" s="5">
        <v>149.9</v>
      </c>
      <c r="E90" s="17">
        <f t="shared" si="3"/>
        <v>7495</v>
      </c>
      <c r="F90" s="30">
        <f t="shared" si="4"/>
        <v>172.38499999999999</v>
      </c>
    </row>
    <row r="91" spans="1:6" x14ac:dyDescent="0.3">
      <c r="A91" s="29" t="s">
        <v>244</v>
      </c>
      <c r="B91" s="4" t="s">
        <v>89</v>
      </c>
      <c r="C91" s="4" t="s">
        <v>245</v>
      </c>
      <c r="D91" s="5">
        <v>179.9</v>
      </c>
      <c r="E91" s="17">
        <f t="shared" si="3"/>
        <v>8995</v>
      </c>
      <c r="F91" s="30">
        <f t="shared" si="4"/>
        <v>206.88499999999999</v>
      </c>
    </row>
    <row r="92" spans="1:6" x14ac:dyDescent="0.3">
      <c r="A92" s="29" t="s">
        <v>246</v>
      </c>
      <c r="B92" s="4" t="s">
        <v>89</v>
      </c>
      <c r="C92" s="4" t="s">
        <v>245</v>
      </c>
      <c r="D92" s="5">
        <v>179.9</v>
      </c>
      <c r="E92" s="17">
        <f t="shared" si="3"/>
        <v>8995</v>
      </c>
      <c r="F92" s="30">
        <f t="shared" si="4"/>
        <v>206.88499999999999</v>
      </c>
    </row>
    <row r="93" spans="1:6" x14ac:dyDescent="0.3">
      <c r="A93" s="29" t="s">
        <v>2</v>
      </c>
      <c r="B93" s="4" t="s">
        <v>88</v>
      </c>
      <c r="C93" s="4" t="s">
        <v>247</v>
      </c>
      <c r="D93" s="5">
        <v>199.9</v>
      </c>
      <c r="E93" s="17">
        <f t="shared" si="3"/>
        <v>9995</v>
      </c>
      <c r="F93" s="30">
        <f t="shared" si="4"/>
        <v>229.88499999999999</v>
      </c>
    </row>
    <row r="94" spans="1:6" x14ac:dyDescent="0.3">
      <c r="A94" s="29" t="s">
        <v>29</v>
      </c>
      <c r="B94" s="4" t="s">
        <v>88</v>
      </c>
      <c r="C94" s="4" t="s">
        <v>248</v>
      </c>
      <c r="D94" s="5">
        <v>199.9</v>
      </c>
      <c r="E94" s="17">
        <f t="shared" si="3"/>
        <v>9995</v>
      </c>
      <c r="F94" s="30">
        <f t="shared" si="4"/>
        <v>229.88499999999999</v>
      </c>
    </row>
    <row r="95" spans="1:6" x14ac:dyDescent="0.3">
      <c r="A95" s="29" t="s">
        <v>5</v>
      </c>
      <c r="B95" s="4" t="s">
        <v>88</v>
      </c>
      <c r="C95" s="4" t="s">
        <v>249</v>
      </c>
      <c r="D95" s="5">
        <v>399.9</v>
      </c>
      <c r="E95" s="17">
        <f t="shared" si="3"/>
        <v>19995</v>
      </c>
      <c r="F95" s="30">
        <f t="shared" si="4"/>
        <v>459.88499999999993</v>
      </c>
    </row>
    <row r="96" spans="1:6" x14ac:dyDescent="0.3">
      <c r="A96" s="29" t="s">
        <v>250</v>
      </c>
      <c r="B96" s="4" t="s">
        <v>88</v>
      </c>
      <c r="C96" s="4" t="s">
        <v>251</v>
      </c>
      <c r="D96" s="5">
        <v>399.9</v>
      </c>
      <c r="E96" s="17">
        <f t="shared" si="3"/>
        <v>19995</v>
      </c>
      <c r="F96" s="30">
        <f t="shared" si="4"/>
        <v>459.88499999999993</v>
      </c>
    </row>
    <row r="97" spans="1:6" x14ac:dyDescent="0.3">
      <c r="A97" s="29" t="s">
        <v>1</v>
      </c>
      <c r="B97" s="4" t="s">
        <v>89</v>
      </c>
      <c r="C97" s="4" t="s">
        <v>252</v>
      </c>
      <c r="D97" s="5">
        <v>249.9</v>
      </c>
      <c r="E97" s="17">
        <f t="shared" si="3"/>
        <v>12495</v>
      </c>
      <c r="F97" s="30">
        <f>+D97*$F$1</f>
        <v>287.38499999999999</v>
      </c>
    </row>
    <row r="98" spans="1:6" x14ac:dyDescent="0.3">
      <c r="A98" s="29" t="s">
        <v>170</v>
      </c>
      <c r="B98" s="4" t="s">
        <v>89</v>
      </c>
      <c r="C98" s="4" t="s">
        <v>252</v>
      </c>
      <c r="D98" s="5">
        <v>249.9</v>
      </c>
      <c r="E98" s="17">
        <f t="shared" si="3"/>
        <v>12495</v>
      </c>
      <c r="F98" s="30">
        <f>+D98*$F$1</f>
        <v>287.38499999999999</v>
      </c>
    </row>
    <row r="99" spans="1:6" x14ac:dyDescent="0.3">
      <c r="A99" s="29" t="s">
        <v>25</v>
      </c>
      <c r="B99" s="4" t="s">
        <v>88</v>
      </c>
      <c r="C99" s="4" t="s">
        <v>253</v>
      </c>
      <c r="D99" s="5">
        <v>399.9</v>
      </c>
      <c r="E99" s="17">
        <f t="shared" ref="E99:E101" si="5">+D99*EURKUR</f>
        <v>19995</v>
      </c>
      <c r="F99" s="30">
        <f t="shared" si="4"/>
        <v>459.88499999999993</v>
      </c>
    </row>
    <row r="100" spans="1:6" x14ac:dyDescent="0.3">
      <c r="A100" s="29" t="s">
        <v>254</v>
      </c>
      <c r="B100" s="4" t="s">
        <v>88</v>
      </c>
      <c r="C100" s="4" t="s">
        <v>255</v>
      </c>
      <c r="D100" s="5">
        <v>399.9</v>
      </c>
      <c r="E100" s="17">
        <f t="shared" si="5"/>
        <v>19995</v>
      </c>
      <c r="F100" s="30">
        <f t="shared" si="4"/>
        <v>459.88499999999993</v>
      </c>
    </row>
    <row r="101" spans="1:6" x14ac:dyDescent="0.3">
      <c r="A101" s="32" t="s">
        <v>256</v>
      </c>
      <c r="B101" s="33" t="s">
        <v>88</v>
      </c>
      <c r="C101" s="33" t="s">
        <v>253</v>
      </c>
      <c r="D101" s="34">
        <v>399.9</v>
      </c>
      <c r="E101" s="35">
        <f t="shared" si="5"/>
        <v>19995</v>
      </c>
      <c r="F101" s="36">
        <f t="shared" si="4"/>
        <v>459.88499999999993</v>
      </c>
    </row>
  </sheetData>
  <autoFilter ref="A2:E86" xr:uid="{00000000-0009-0000-0000-000000000000}">
    <sortState xmlns:xlrd2="http://schemas.microsoft.com/office/spreadsheetml/2017/richdata2" ref="A3:E86">
      <sortCondition ref="B3:B86"/>
      <sortCondition ref="D3:D86"/>
    </sortState>
  </autoFilter>
  <conditionalFormatting sqref="A18">
    <cfRule type="duplicateValues" dxfId="9" priority="2"/>
  </conditionalFormatting>
  <conditionalFormatting sqref="A2:B2 A3:A17 A19:A101">
    <cfRule type="duplicateValues" dxfId="8" priority="3"/>
  </conditionalFormatting>
  <conditionalFormatting sqref="A102:B1048576 A2:B2 A1 A3:A101">
    <cfRule type="duplicateValues" dxfId="7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workbookViewId="0">
      <selection activeCell="J12" sqref="J12"/>
    </sheetView>
  </sheetViews>
  <sheetFormatPr defaultColWidth="9.109375" defaultRowHeight="14.4" x14ac:dyDescent="0.3"/>
  <cols>
    <col min="1" max="1" width="22.109375" style="2" bestFit="1" customWidth="1"/>
    <col min="2" max="2" width="21.33203125" style="2" customWidth="1"/>
    <col min="3" max="3" width="43.88671875" style="2" bestFit="1" customWidth="1"/>
    <col min="4" max="4" width="14.6640625" style="22" customWidth="1"/>
    <col min="5" max="5" width="12" style="23" bestFit="1" customWidth="1"/>
    <col min="6" max="6" width="12" style="24" bestFit="1" customWidth="1"/>
    <col min="7" max="16384" width="9.109375" style="2"/>
  </cols>
  <sheetData>
    <row r="1" spans="1:6" s="1" customFormat="1" x14ac:dyDescent="0.3">
      <c r="A1" s="9" t="s">
        <v>82</v>
      </c>
      <c r="B1" s="10" t="s">
        <v>90</v>
      </c>
      <c r="C1" s="11" t="s">
        <v>86</v>
      </c>
      <c r="D1" s="10" t="s">
        <v>91</v>
      </c>
      <c r="E1" s="10">
        <v>50</v>
      </c>
      <c r="F1" s="12">
        <v>1.1499999999999999</v>
      </c>
    </row>
    <row r="2" spans="1:6" x14ac:dyDescent="0.3">
      <c r="A2" s="13" t="s">
        <v>0</v>
      </c>
      <c r="B2" s="14" t="s">
        <v>83</v>
      </c>
      <c r="C2" s="14" t="s">
        <v>84</v>
      </c>
      <c r="D2" s="14" t="s">
        <v>79</v>
      </c>
      <c r="E2" s="15" t="s">
        <v>80</v>
      </c>
      <c r="F2" s="16" t="s">
        <v>92</v>
      </c>
    </row>
    <row r="3" spans="1:6" x14ac:dyDescent="0.3">
      <c r="A3" s="3" t="s">
        <v>23</v>
      </c>
      <c r="B3" s="4" t="s">
        <v>87</v>
      </c>
      <c r="C3" s="4" t="s">
        <v>93</v>
      </c>
      <c r="D3" s="5">
        <v>9.9</v>
      </c>
      <c r="E3" s="17">
        <v>495</v>
      </c>
      <c r="F3" s="18">
        <v>11.4</v>
      </c>
    </row>
    <row r="4" spans="1:6" x14ac:dyDescent="0.3">
      <c r="A4" s="3" t="s">
        <v>45</v>
      </c>
      <c r="B4" s="4" t="s">
        <v>87</v>
      </c>
      <c r="C4" s="4" t="s">
        <v>94</v>
      </c>
      <c r="D4" s="5">
        <v>9.9</v>
      </c>
      <c r="E4" s="17">
        <v>495</v>
      </c>
      <c r="F4" s="18">
        <v>11.4</v>
      </c>
    </row>
    <row r="5" spans="1:6" x14ac:dyDescent="0.3">
      <c r="A5" s="3" t="s">
        <v>32</v>
      </c>
      <c r="B5" s="4" t="s">
        <v>87</v>
      </c>
      <c r="C5" s="4" t="s">
        <v>95</v>
      </c>
      <c r="D5" s="5">
        <v>12.9</v>
      </c>
      <c r="E5" s="17">
        <v>645</v>
      </c>
      <c r="F5" s="18">
        <v>14.9</v>
      </c>
    </row>
    <row r="6" spans="1:6" x14ac:dyDescent="0.3">
      <c r="A6" s="3" t="s">
        <v>27</v>
      </c>
      <c r="B6" s="4" t="s">
        <v>87</v>
      </c>
      <c r="C6" s="4" t="s">
        <v>96</v>
      </c>
      <c r="D6" s="5">
        <v>14.9</v>
      </c>
      <c r="E6" s="17">
        <v>745</v>
      </c>
      <c r="F6" s="18">
        <v>17.200000000000003</v>
      </c>
    </row>
    <row r="7" spans="1:6" x14ac:dyDescent="0.3">
      <c r="A7" s="3" t="s">
        <v>61</v>
      </c>
      <c r="B7" s="4" t="s">
        <v>87</v>
      </c>
      <c r="C7" s="4" t="s">
        <v>97</v>
      </c>
      <c r="D7" s="5">
        <v>14.9</v>
      </c>
      <c r="E7" s="17">
        <v>745</v>
      </c>
      <c r="F7" s="18">
        <v>17.200000000000003</v>
      </c>
    </row>
    <row r="8" spans="1:6" x14ac:dyDescent="0.3">
      <c r="A8" s="3" t="s">
        <v>70</v>
      </c>
      <c r="B8" s="4" t="s">
        <v>87</v>
      </c>
      <c r="C8" s="4" t="s">
        <v>98</v>
      </c>
      <c r="D8" s="5">
        <v>17.899999999999999</v>
      </c>
      <c r="E8" s="17">
        <v>894.99999999999989</v>
      </c>
      <c r="F8" s="18">
        <v>20.6</v>
      </c>
    </row>
    <row r="9" spans="1:6" x14ac:dyDescent="0.3">
      <c r="A9" s="3" t="s">
        <v>15</v>
      </c>
      <c r="B9" s="4" t="s">
        <v>87</v>
      </c>
      <c r="C9" s="4" t="s">
        <v>99</v>
      </c>
      <c r="D9" s="5">
        <v>24.9</v>
      </c>
      <c r="E9" s="17">
        <v>1245</v>
      </c>
      <c r="F9" s="18">
        <v>28.700000000000003</v>
      </c>
    </row>
    <row r="10" spans="1:6" x14ac:dyDescent="0.3">
      <c r="A10" s="3" t="s">
        <v>33</v>
      </c>
      <c r="B10" s="4" t="s">
        <v>87</v>
      </c>
      <c r="C10" s="4" t="s">
        <v>100</v>
      </c>
      <c r="D10" s="5">
        <v>24.9</v>
      </c>
      <c r="E10" s="17">
        <v>1245</v>
      </c>
      <c r="F10" s="18">
        <v>28.700000000000003</v>
      </c>
    </row>
    <row r="11" spans="1:6" x14ac:dyDescent="0.3">
      <c r="A11" s="3" t="s">
        <v>11</v>
      </c>
      <c r="B11" s="4" t="s">
        <v>87</v>
      </c>
      <c r="C11" s="4" t="s">
        <v>101</v>
      </c>
      <c r="D11" s="5">
        <v>29.9</v>
      </c>
      <c r="E11" s="17">
        <v>1495</v>
      </c>
      <c r="F11" s="18">
        <v>34.4</v>
      </c>
    </row>
    <row r="12" spans="1:6" x14ac:dyDescent="0.3">
      <c r="A12" s="3" t="s">
        <v>14</v>
      </c>
      <c r="B12" s="4" t="s">
        <v>87</v>
      </c>
      <c r="C12" s="4" t="s">
        <v>102</v>
      </c>
      <c r="D12" s="5">
        <v>29.9</v>
      </c>
      <c r="E12" s="17">
        <v>1495</v>
      </c>
      <c r="F12" s="18">
        <v>34.4</v>
      </c>
    </row>
    <row r="13" spans="1:6" x14ac:dyDescent="0.3">
      <c r="A13" s="3" t="s">
        <v>28</v>
      </c>
      <c r="B13" s="4" t="s">
        <v>87</v>
      </c>
      <c r="C13" s="4" t="s">
        <v>103</v>
      </c>
      <c r="D13" s="5">
        <v>29.9</v>
      </c>
      <c r="E13" s="17">
        <v>1495</v>
      </c>
      <c r="F13" s="18">
        <v>34.4</v>
      </c>
    </row>
    <row r="14" spans="1:6" x14ac:dyDescent="0.3">
      <c r="A14" s="3" t="s">
        <v>47</v>
      </c>
      <c r="B14" s="4" t="s">
        <v>87</v>
      </c>
      <c r="C14" s="4" t="s">
        <v>104</v>
      </c>
      <c r="D14" s="5">
        <v>29.9</v>
      </c>
      <c r="E14" s="17">
        <v>1495</v>
      </c>
      <c r="F14" s="18">
        <v>34.4</v>
      </c>
    </row>
    <row r="15" spans="1:6" x14ac:dyDescent="0.3">
      <c r="A15" s="3" t="s">
        <v>49</v>
      </c>
      <c r="B15" s="4" t="s">
        <v>89</v>
      </c>
      <c r="C15" s="4" t="s">
        <v>105</v>
      </c>
      <c r="D15" s="5">
        <v>29.9</v>
      </c>
      <c r="E15" s="17">
        <v>1495</v>
      </c>
      <c r="F15" s="18">
        <v>34.4</v>
      </c>
    </row>
    <row r="16" spans="1:6" x14ac:dyDescent="0.3">
      <c r="A16" s="3" t="s">
        <v>50</v>
      </c>
      <c r="B16" s="4" t="s">
        <v>89</v>
      </c>
      <c r="C16" s="4" t="s">
        <v>105</v>
      </c>
      <c r="D16" s="5">
        <v>29.9</v>
      </c>
      <c r="E16" s="17">
        <v>1495</v>
      </c>
      <c r="F16" s="18">
        <v>34.4</v>
      </c>
    </row>
    <row r="17" spans="1:9" x14ac:dyDescent="0.3">
      <c r="A17" s="3" t="s">
        <v>62</v>
      </c>
      <c r="B17" s="4" t="s">
        <v>87</v>
      </c>
      <c r="C17" s="4" t="s">
        <v>106</v>
      </c>
      <c r="D17" s="5">
        <v>29.9</v>
      </c>
      <c r="E17" s="17">
        <v>1495</v>
      </c>
      <c r="F17" s="18">
        <v>34.4</v>
      </c>
    </row>
    <row r="18" spans="1:9" x14ac:dyDescent="0.3">
      <c r="A18" s="3" t="s">
        <v>64</v>
      </c>
      <c r="B18" s="4" t="s">
        <v>87</v>
      </c>
      <c r="C18" s="4" t="s">
        <v>107</v>
      </c>
      <c r="D18" s="5">
        <v>29.9</v>
      </c>
      <c r="E18" s="17">
        <v>1495</v>
      </c>
      <c r="F18" s="18">
        <v>34.4</v>
      </c>
    </row>
    <row r="19" spans="1:9" x14ac:dyDescent="0.3">
      <c r="A19" s="3" t="s">
        <v>108</v>
      </c>
      <c r="B19" s="4" t="s">
        <v>87</v>
      </c>
      <c r="C19" s="4" t="s">
        <v>109</v>
      </c>
      <c r="D19" s="5">
        <v>29.9</v>
      </c>
      <c r="E19" s="17">
        <v>1495</v>
      </c>
      <c r="F19" s="18">
        <v>34.4</v>
      </c>
    </row>
    <row r="20" spans="1:9" x14ac:dyDescent="0.3">
      <c r="A20" s="3" t="s">
        <v>67</v>
      </c>
      <c r="B20" s="4" t="s">
        <v>87</v>
      </c>
      <c r="C20" s="4" t="s">
        <v>109</v>
      </c>
      <c r="D20" s="5">
        <v>29.9</v>
      </c>
      <c r="E20" s="17">
        <v>1495</v>
      </c>
      <c r="F20" s="18">
        <v>34.4</v>
      </c>
    </row>
    <row r="21" spans="1:9" x14ac:dyDescent="0.3">
      <c r="A21" s="3" t="s">
        <v>71</v>
      </c>
      <c r="B21" s="4" t="s">
        <v>87</v>
      </c>
      <c r="C21" s="4" t="s">
        <v>110</v>
      </c>
      <c r="D21" s="5">
        <v>29.9</v>
      </c>
      <c r="E21" s="17">
        <v>1495</v>
      </c>
      <c r="F21" s="18">
        <v>34.4</v>
      </c>
    </row>
    <row r="22" spans="1:9" x14ac:dyDescent="0.3">
      <c r="A22" s="3" t="s">
        <v>111</v>
      </c>
      <c r="B22" s="4" t="s">
        <v>89</v>
      </c>
      <c r="C22" s="4" t="s">
        <v>112</v>
      </c>
      <c r="D22" s="5">
        <v>39.9</v>
      </c>
      <c r="E22" s="17">
        <v>1995</v>
      </c>
      <c r="F22" s="18">
        <v>45.9</v>
      </c>
    </row>
    <row r="23" spans="1:9" x14ac:dyDescent="0.3">
      <c r="A23" s="3" t="s">
        <v>85</v>
      </c>
      <c r="B23" s="4" t="s">
        <v>89</v>
      </c>
      <c r="C23" s="4" t="s">
        <v>112</v>
      </c>
      <c r="D23" s="5">
        <v>39.9</v>
      </c>
      <c r="E23" s="17">
        <v>1995</v>
      </c>
      <c r="F23" s="18">
        <v>45.9</v>
      </c>
    </row>
    <row r="24" spans="1:9" x14ac:dyDescent="0.3">
      <c r="A24" s="3" t="s">
        <v>81</v>
      </c>
      <c r="B24" s="4" t="s">
        <v>87</v>
      </c>
      <c r="C24" s="4" t="s">
        <v>113</v>
      </c>
      <c r="D24" s="5">
        <v>39.9</v>
      </c>
      <c r="E24" s="17">
        <v>1995</v>
      </c>
      <c r="F24" s="18">
        <v>45.9</v>
      </c>
    </row>
    <row r="25" spans="1:9" x14ac:dyDescent="0.3">
      <c r="A25" s="3" t="s">
        <v>56</v>
      </c>
      <c r="B25" s="4" t="s">
        <v>88</v>
      </c>
      <c r="C25" s="4" t="s">
        <v>114</v>
      </c>
      <c r="D25" s="5">
        <v>49.9</v>
      </c>
      <c r="E25" s="17">
        <v>2495</v>
      </c>
      <c r="F25" s="18">
        <v>57.4</v>
      </c>
    </row>
    <row r="26" spans="1:9" x14ac:dyDescent="0.3">
      <c r="A26" s="3" t="s">
        <v>10</v>
      </c>
      <c r="B26" s="4" t="s">
        <v>88</v>
      </c>
      <c r="C26" s="4" t="s">
        <v>115</v>
      </c>
      <c r="D26" s="5">
        <v>59.9</v>
      </c>
      <c r="E26" s="17">
        <v>2995</v>
      </c>
      <c r="F26" s="18">
        <v>68.899999999999991</v>
      </c>
    </row>
    <row r="27" spans="1:9" x14ac:dyDescent="0.3">
      <c r="A27" s="3" t="s">
        <v>13</v>
      </c>
      <c r="B27" s="4" t="s">
        <v>88</v>
      </c>
      <c r="C27" s="4" t="s">
        <v>116</v>
      </c>
      <c r="D27" s="5">
        <v>59.9</v>
      </c>
      <c r="E27" s="17">
        <v>2995</v>
      </c>
      <c r="F27" s="18">
        <v>68.899999999999991</v>
      </c>
    </row>
    <row r="28" spans="1:9" x14ac:dyDescent="0.3">
      <c r="A28" s="3" t="s">
        <v>20</v>
      </c>
      <c r="B28" s="4" t="s">
        <v>88</v>
      </c>
      <c r="C28" s="4" t="s">
        <v>117</v>
      </c>
      <c r="D28" s="5">
        <v>59.9</v>
      </c>
      <c r="E28" s="17">
        <v>2995</v>
      </c>
      <c r="F28" s="18">
        <v>68.899999999999991</v>
      </c>
    </row>
    <row r="29" spans="1:9" x14ac:dyDescent="0.3">
      <c r="A29" s="3" t="s">
        <v>22</v>
      </c>
      <c r="B29" s="4" t="s">
        <v>88</v>
      </c>
      <c r="C29" s="4" t="s">
        <v>118</v>
      </c>
      <c r="D29" s="5">
        <v>59.9</v>
      </c>
      <c r="E29" s="17">
        <v>2995</v>
      </c>
      <c r="F29" s="18">
        <v>68.899999999999991</v>
      </c>
    </row>
    <row r="30" spans="1:9" x14ac:dyDescent="0.3">
      <c r="A30" s="3" t="s">
        <v>30</v>
      </c>
      <c r="B30" s="4" t="s">
        <v>89</v>
      </c>
      <c r="C30" s="4" t="s">
        <v>119</v>
      </c>
      <c r="D30" s="5">
        <v>59.9</v>
      </c>
      <c r="E30" s="17">
        <v>2995</v>
      </c>
      <c r="F30" s="18">
        <v>68.899999999999991</v>
      </c>
    </row>
    <row r="31" spans="1:9" x14ac:dyDescent="0.3">
      <c r="A31" s="3" t="s">
        <v>31</v>
      </c>
      <c r="B31" s="4" t="s">
        <v>89</v>
      </c>
      <c r="C31" s="4" t="s">
        <v>120</v>
      </c>
      <c r="D31" s="5">
        <v>59.9</v>
      </c>
      <c r="E31" s="17">
        <v>2995</v>
      </c>
      <c r="F31" s="18">
        <v>68.899999999999991</v>
      </c>
      <c r="I31" s="19"/>
    </row>
    <row r="32" spans="1:9" x14ac:dyDescent="0.3">
      <c r="A32" s="3" t="s">
        <v>37</v>
      </c>
      <c r="B32" s="4" t="s">
        <v>88</v>
      </c>
      <c r="C32" s="4" t="s">
        <v>121</v>
      </c>
      <c r="D32" s="5">
        <v>59.9</v>
      </c>
      <c r="E32" s="17">
        <v>2995</v>
      </c>
      <c r="F32" s="18">
        <v>68.899999999999991</v>
      </c>
    </row>
    <row r="33" spans="1:6" x14ac:dyDescent="0.3">
      <c r="A33" s="3" t="s">
        <v>42</v>
      </c>
      <c r="B33" s="4" t="s">
        <v>88</v>
      </c>
      <c r="C33" s="4" t="s">
        <v>118</v>
      </c>
      <c r="D33" s="5">
        <v>59.9</v>
      </c>
      <c r="E33" s="17">
        <v>2995</v>
      </c>
      <c r="F33" s="18">
        <v>68.899999999999991</v>
      </c>
    </row>
    <row r="34" spans="1:6" x14ac:dyDescent="0.3">
      <c r="A34" s="3" t="s">
        <v>43</v>
      </c>
      <c r="B34" s="4" t="s">
        <v>88</v>
      </c>
      <c r="C34" s="4" t="s">
        <v>122</v>
      </c>
      <c r="D34" s="5">
        <v>59.9</v>
      </c>
      <c r="E34" s="17">
        <v>2995</v>
      </c>
      <c r="F34" s="18">
        <v>68.899999999999991</v>
      </c>
    </row>
    <row r="35" spans="1:6" x14ac:dyDescent="0.3">
      <c r="A35" s="3" t="s">
        <v>48</v>
      </c>
      <c r="B35" s="4" t="s">
        <v>88</v>
      </c>
      <c r="C35" s="4" t="s">
        <v>117</v>
      </c>
      <c r="D35" s="5">
        <v>59.9</v>
      </c>
      <c r="E35" s="17">
        <v>2995</v>
      </c>
      <c r="F35" s="18">
        <v>68.899999999999991</v>
      </c>
    </row>
    <row r="36" spans="1:6" x14ac:dyDescent="0.3">
      <c r="A36" s="3" t="s">
        <v>123</v>
      </c>
      <c r="B36" s="4" t="s">
        <v>89</v>
      </c>
      <c r="C36" s="4" t="s">
        <v>124</v>
      </c>
      <c r="D36" s="5">
        <v>59.9</v>
      </c>
      <c r="E36" s="17">
        <v>2995</v>
      </c>
      <c r="F36" s="18">
        <v>68.899999999999991</v>
      </c>
    </row>
    <row r="37" spans="1:6" x14ac:dyDescent="0.3">
      <c r="A37" s="3" t="s">
        <v>55</v>
      </c>
      <c r="B37" s="4" t="s">
        <v>89</v>
      </c>
      <c r="C37" s="4" t="s">
        <v>125</v>
      </c>
      <c r="D37" s="5">
        <v>59.9</v>
      </c>
      <c r="E37" s="17">
        <v>2995</v>
      </c>
      <c r="F37" s="18">
        <v>68.899999999999991</v>
      </c>
    </row>
    <row r="38" spans="1:6" x14ac:dyDescent="0.3">
      <c r="A38" s="3" t="s">
        <v>66</v>
      </c>
      <c r="B38" s="4" t="s">
        <v>88</v>
      </c>
      <c r="C38" s="4" t="s">
        <v>126</v>
      </c>
      <c r="D38" s="5">
        <v>59.9</v>
      </c>
      <c r="E38" s="17">
        <v>2995</v>
      </c>
      <c r="F38" s="18">
        <v>68.899999999999991</v>
      </c>
    </row>
    <row r="39" spans="1:6" x14ac:dyDescent="0.3">
      <c r="A39" s="3" t="s">
        <v>68</v>
      </c>
      <c r="B39" s="4" t="s">
        <v>88</v>
      </c>
      <c r="C39" s="4" t="s">
        <v>117</v>
      </c>
      <c r="D39" s="5">
        <v>59.9</v>
      </c>
      <c r="E39" s="17">
        <v>2995</v>
      </c>
      <c r="F39" s="18">
        <v>68.899999999999991</v>
      </c>
    </row>
    <row r="40" spans="1:6" x14ac:dyDescent="0.3">
      <c r="A40" s="3" t="s">
        <v>69</v>
      </c>
      <c r="B40" s="4" t="s">
        <v>88</v>
      </c>
      <c r="C40" s="4" t="s">
        <v>117</v>
      </c>
      <c r="D40" s="5">
        <v>59.9</v>
      </c>
      <c r="E40" s="17">
        <v>2995</v>
      </c>
      <c r="F40" s="18">
        <v>68.899999999999991</v>
      </c>
    </row>
    <row r="41" spans="1:6" x14ac:dyDescent="0.3">
      <c r="A41" s="3" t="s">
        <v>7</v>
      </c>
      <c r="B41" s="4" t="s">
        <v>88</v>
      </c>
      <c r="C41" s="4" t="s">
        <v>127</v>
      </c>
      <c r="D41" s="5">
        <v>69.900000000000006</v>
      </c>
      <c r="E41" s="17">
        <v>3495.0000000000005</v>
      </c>
      <c r="F41" s="18">
        <v>80.399999999999991</v>
      </c>
    </row>
    <row r="42" spans="1:6" x14ac:dyDescent="0.3">
      <c r="A42" s="3" t="s">
        <v>19</v>
      </c>
      <c r="B42" s="4" t="s">
        <v>88</v>
      </c>
      <c r="C42" s="4" t="s">
        <v>128</v>
      </c>
      <c r="D42" s="5">
        <v>69.900000000000006</v>
      </c>
      <c r="E42" s="17">
        <v>3495.0000000000005</v>
      </c>
      <c r="F42" s="18">
        <v>80.399999999999991</v>
      </c>
    </row>
    <row r="43" spans="1:6" x14ac:dyDescent="0.3">
      <c r="A43" s="3" t="s">
        <v>21</v>
      </c>
      <c r="B43" s="4" t="s">
        <v>88</v>
      </c>
      <c r="C43" s="4" t="s">
        <v>129</v>
      </c>
      <c r="D43" s="5">
        <v>69.900000000000006</v>
      </c>
      <c r="E43" s="17">
        <v>3495.0000000000005</v>
      </c>
      <c r="F43" s="18">
        <v>80.399999999999991</v>
      </c>
    </row>
    <row r="44" spans="1:6" x14ac:dyDescent="0.3">
      <c r="A44" s="3" t="s">
        <v>24</v>
      </c>
      <c r="B44" s="4" t="s">
        <v>89</v>
      </c>
      <c r="C44" s="4" t="s">
        <v>130</v>
      </c>
      <c r="D44" s="5">
        <v>69.900000000000006</v>
      </c>
      <c r="E44" s="17">
        <v>3495.0000000000005</v>
      </c>
      <c r="F44" s="18">
        <v>80.399999999999991</v>
      </c>
    </row>
    <row r="45" spans="1:6" x14ac:dyDescent="0.3">
      <c r="A45" s="3" t="s">
        <v>131</v>
      </c>
      <c r="B45" s="4" t="s">
        <v>89</v>
      </c>
      <c r="C45" s="4" t="s">
        <v>130</v>
      </c>
      <c r="D45" s="5">
        <v>69.900000000000006</v>
      </c>
      <c r="E45" s="17">
        <v>3495.0000000000005</v>
      </c>
      <c r="F45" s="18">
        <v>80.399999999999991</v>
      </c>
    </row>
    <row r="46" spans="1:6" x14ac:dyDescent="0.3">
      <c r="A46" s="3" t="s">
        <v>132</v>
      </c>
      <c r="B46" s="4" t="s">
        <v>89</v>
      </c>
      <c r="C46" s="4" t="s">
        <v>133</v>
      </c>
      <c r="D46" s="5">
        <v>69.900000000000006</v>
      </c>
      <c r="E46" s="17">
        <v>3495.0000000000005</v>
      </c>
      <c r="F46" s="18">
        <v>80.399999999999991</v>
      </c>
    </row>
    <row r="47" spans="1:6" x14ac:dyDescent="0.3">
      <c r="A47" s="3" t="s">
        <v>36</v>
      </c>
      <c r="B47" s="4" t="s">
        <v>88</v>
      </c>
      <c r="C47" s="4" t="s">
        <v>134</v>
      </c>
      <c r="D47" s="5">
        <v>69.900000000000006</v>
      </c>
      <c r="E47" s="17">
        <v>3495.0000000000005</v>
      </c>
      <c r="F47" s="18">
        <v>80.399999999999991</v>
      </c>
    </row>
    <row r="48" spans="1:6" x14ac:dyDescent="0.3">
      <c r="A48" s="3" t="s">
        <v>38</v>
      </c>
      <c r="B48" s="4" t="s">
        <v>89</v>
      </c>
      <c r="C48" s="4" t="s">
        <v>135</v>
      </c>
      <c r="D48" s="5">
        <v>69.900000000000006</v>
      </c>
      <c r="E48" s="17">
        <v>3495.0000000000005</v>
      </c>
      <c r="F48" s="18">
        <v>80.399999999999991</v>
      </c>
    </row>
    <row r="49" spans="1:6" x14ac:dyDescent="0.3">
      <c r="A49" s="3" t="s">
        <v>41</v>
      </c>
      <c r="B49" s="4" t="s">
        <v>88</v>
      </c>
      <c r="C49" s="4" t="s">
        <v>129</v>
      </c>
      <c r="D49" s="5">
        <v>69.900000000000006</v>
      </c>
      <c r="E49" s="17">
        <v>3495.0000000000005</v>
      </c>
      <c r="F49" s="18">
        <v>80.399999999999991</v>
      </c>
    </row>
    <row r="50" spans="1:6" x14ac:dyDescent="0.3">
      <c r="A50" s="3" t="s">
        <v>52</v>
      </c>
      <c r="B50" s="4" t="s">
        <v>88</v>
      </c>
      <c r="C50" s="4" t="s">
        <v>136</v>
      </c>
      <c r="D50" s="5">
        <v>69.900000000000006</v>
      </c>
      <c r="E50" s="17">
        <v>3495.0000000000005</v>
      </c>
      <c r="F50" s="18">
        <v>80.399999999999991</v>
      </c>
    </row>
    <row r="51" spans="1:6" x14ac:dyDescent="0.3">
      <c r="A51" s="3" t="s">
        <v>54</v>
      </c>
      <c r="B51" s="4" t="s">
        <v>88</v>
      </c>
      <c r="C51" s="4" t="s">
        <v>137</v>
      </c>
      <c r="D51" s="5">
        <v>69.900000000000006</v>
      </c>
      <c r="E51" s="17">
        <v>3495.0000000000005</v>
      </c>
      <c r="F51" s="18">
        <v>80.399999999999991</v>
      </c>
    </row>
    <row r="52" spans="1:6" x14ac:dyDescent="0.3">
      <c r="A52" s="3" t="s">
        <v>58</v>
      </c>
      <c r="B52" s="4" t="s">
        <v>88</v>
      </c>
      <c r="C52" s="4" t="s">
        <v>137</v>
      </c>
      <c r="D52" s="5">
        <v>69.900000000000006</v>
      </c>
      <c r="E52" s="17">
        <v>3495.0000000000005</v>
      </c>
      <c r="F52" s="18">
        <v>80.399999999999991</v>
      </c>
    </row>
    <row r="53" spans="1:6" x14ac:dyDescent="0.3">
      <c r="A53" s="3" t="s">
        <v>59</v>
      </c>
      <c r="B53" s="4" t="s">
        <v>88</v>
      </c>
      <c r="C53" s="4" t="s">
        <v>138</v>
      </c>
      <c r="D53" s="5">
        <v>69.900000000000006</v>
      </c>
      <c r="E53" s="17">
        <v>3495.0000000000005</v>
      </c>
      <c r="F53" s="18">
        <v>80.399999999999991</v>
      </c>
    </row>
    <row r="54" spans="1:6" x14ac:dyDescent="0.3">
      <c r="A54" s="3" t="s">
        <v>65</v>
      </c>
      <c r="B54" s="4" t="s">
        <v>88</v>
      </c>
      <c r="C54" s="4" t="s">
        <v>139</v>
      </c>
      <c r="D54" s="5">
        <v>69.900000000000006</v>
      </c>
      <c r="E54" s="17">
        <v>3495.0000000000005</v>
      </c>
      <c r="F54" s="18">
        <v>80.399999999999991</v>
      </c>
    </row>
    <row r="55" spans="1:6" x14ac:dyDescent="0.3">
      <c r="A55" s="3" t="s">
        <v>72</v>
      </c>
      <c r="B55" s="4" t="s">
        <v>89</v>
      </c>
      <c r="C55" s="4" t="s">
        <v>140</v>
      </c>
      <c r="D55" s="5">
        <v>69.900000000000006</v>
      </c>
      <c r="E55" s="17">
        <v>3495.0000000000005</v>
      </c>
      <c r="F55" s="18">
        <v>80.399999999999991</v>
      </c>
    </row>
    <row r="56" spans="1:6" x14ac:dyDescent="0.3">
      <c r="A56" s="3" t="s">
        <v>141</v>
      </c>
      <c r="B56" s="4" t="s">
        <v>89</v>
      </c>
      <c r="C56" s="4" t="s">
        <v>140</v>
      </c>
      <c r="D56" s="5">
        <v>69.900000000000006</v>
      </c>
      <c r="E56" s="17">
        <v>3495.0000000000005</v>
      </c>
      <c r="F56" s="18">
        <v>80.399999999999991</v>
      </c>
    </row>
    <row r="57" spans="1:6" x14ac:dyDescent="0.3">
      <c r="A57" s="3" t="s">
        <v>73</v>
      </c>
      <c r="B57" s="4" t="s">
        <v>88</v>
      </c>
      <c r="C57" s="4" t="s">
        <v>128</v>
      </c>
      <c r="D57" s="5">
        <v>69.900000000000006</v>
      </c>
      <c r="E57" s="17">
        <v>3495.0000000000005</v>
      </c>
      <c r="F57" s="18">
        <v>80.399999999999991</v>
      </c>
    </row>
    <row r="58" spans="1:6" x14ac:dyDescent="0.3">
      <c r="A58" s="3" t="s">
        <v>74</v>
      </c>
      <c r="B58" s="4" t="s">
        <v>88</v>
      </c>
      <c r="C58" s="4" t="s">
        <v>128</v>
      </c>
      <c r="D58" s="5">
        <v>69.900000000000006</v>
      </c>
      <c r="E58" s="17">
        <v>3495.0000000000005</v>
      </c>
      <c r="F58" s="18">
        <v>80.399999999999991</v>
      </c>
    </row>
    <row r="59" spans="1:6" x14ac:dyDescent="0.3">
      <c r="A59" s="3" t="s">
        <v>75</v>
      </c>
      <c r="B59" s="4" t="s">
        <v>89</v>
      </c>
      <c r="C59" s="4" t="s">
        <v>142</v>
      </c>
      <c r="D59" s="5">
        <v>69.900000000000006</v>
      </c>
      <c r="E59" s="17">
        <v>3495.0000000000005</v>
      </c>
      <c r="F59" s="18">
        <v>80.399999999999991</v>
      </c>
    </row>
    <row r="60" spans="1:6" x14ac:dyDescent="0.3">
      <c r="A60" s="3" t="s">
        <v>143</v>
      </c>
      <c r="B60" s="4" t="s">
        <v>89</v>
      </c>
      <c r="C60" s="4" t="s">
        <v>142</v>
      </c>
      <c r="D60" s="5">
        <v>69.900000000000006</v>
      </c>
      <c r="E60" s="17">
        <v>3495.0000000000005</v>
      </c>
      <c r="F60" s="18">
        <v>80.399999999999991</v>
      </c>
    </row>
    <row r="61" spans="1:6" x14ac:dyDescent="0.3">
      <c r="A61" s="3" t="s">
        <v>78</v>
      </c>
      <c r="B61" s="4" t="s">
        <v>88</v>
      </c>
      <c r="C61" s="4" t="s">
        <v>129</v>
      </c>
      <c r="D61" s="5">
        <v>69.900000000000006</v>
      </c>
      <c r="E61" s="17">
        <v>3495.0000000000005</v>
      </c>
      <c r="F61" s="18">
        <v>80.399999999999991</v>
      </c>
    </row>
    <row r="62" spans="1:6" x14ac:dyDescent="0.3">
      <c r="A62" s="3" t="s">
        <v>3</v>
      </c>
      <c r="B62" s="4" t="s">
        <v>88</v>
      </c>
      <c r="C62" s="4" t="s">
        <v>144</v>
      </c>
      <c r="D62" s="5">
        <v>79.900000000000006</v>
      </c>
      <c r="E62" s="17">
        <v>3995.0000000000005</v>
      </c>
      <c r="F62" s="18">
        <v>91.899999999999991</v>
      </c>
    </row>
    <row r="63" spans="1:6" x14ac:dyDescent="0.3">
      <c r="A63" s="3" t="s">
        <v>6</v>
      </c>
      <c r="B63" s="4" t="s">
        <v>88</v>
      </c>
      <c r="C63" s="4" t="s">
        <v>145</v>
      </c>
      <c r="D63" s="5">
        <v>79.900000000000006</v>
      </c>
      <c r="E63" s="17">
        <v>3995.0000000000005</v>
      </c>
      <c r="F63" s="18">
        <v>91.899999999999991</v>
      </c>
    </row>
    <row r="64" spans="1:6" x14ac:dyDescent="0.3">
      <c r="A64" s="3" t="s">
        <v>8</v>
      </c>
      <c r="B64" s="4" t="s">
        <v>88</v>
      </c>
      <c r="C64" s="4" t="s">
        <v>146</v>
      </c>
      <c r="D64" s="5">
        <v>79.900000000000006</v>
      </c>
      <c r="E64" s="17">
        <v>3995.0000000000005</v>
      </c>
      <c r="F64" s="18">
        <v>91.899999999999991</v>
      </c>
    </row>
    <row r="65" spans="1:6" x14ac:dyDescent="0.3">
      <c r="A65" s="3" t="s">
        <v>12</v>
      </c>
      <c r="B65" s="4" t="s">
        <v>88</v>
      </c>
      <c r="C65" s="4" t="s">
        <v>147</v>
      </c>
      <c r="D65" s="5">
        <v>79.900000000000006</v>
      </c>
      <c r="E65" s="17">
        <v>3995.0000000000005</v>
      </c>
      <c r="F65" s="18">
        <v>91.899999999999991</v>
      </c>
    </row>
    <row r="66" spans="1:6" x14ac:dyDescent="0.3">
      <c r="A66" s="3" t="s">
        <v>16</v>
      </c>
      <c r="B66" s="4" t="s">
        <v>88</v>
      </c>
      <c r="C66" s="4" t="s">
        <v>148</v>
      </c>
      <c r="D66" s="5">
        <v>79.900000000000006</v>
      </c>
      <c r="E66" s="17">
        <v>3995.0000000000005</v>
      </c>
      <c r="F66" s="18">
        <v>91.899999999999991</v>
      </c>
    </row>
    <row r="67" spans="1:6" x14ac:dyDescent="0.3">
      <c r="A67" s="3" t="s">
        <v>17</v>
      </c>
      <c r="B67" s="4" t="s">
        <v>88</v>
      </c>
      <c r="C67" s="4" t="s">
        <v>149</v>
      </c>
      <c r="D67" s="5">
        <v>79.900000000000006</v>
      </c>
      <c r="E67" s="17">
        <v>3995.0000000000005</v>
      </c>
      <c r="F67" s="18">
        <v>91.899999999999991</v>
      </c>
    </row>
    <row r="68" spans="1:6" x14ac:dyDescent="0.3">
      <c r="A68" s="3" t="s">
        <v>26</v>
      </c>
      <c r="B68" s="4" t="s">
        <v>88</v>
      </c>
      <c r="C68" s="4" t="s">
        <v>150</v>
      </c>
      <c r="D68" s="5">
        <v>79.900000000000006</v>
      </c>
      <c r="E68" s="17">
        <v>3995.0000000000005</v>
      </c>
      <c r="F68" s="18">
        <v>91.899999999999991</v>
      </c>
    </row>
    <row r="69" spans="1:6" x14ac:dyDescent="0.3">
      <c r="A69" s="3" t="s">
        <v>34</v>
      </c>
      <c r="B69" s="4" t="s">
        <v>88</v>
      </c>
      <c r="C69" s="4" t="s">
        <v>151</v>
      </c>
      <c r="D69" s="5">
        <v>79.900000000000006</v>
      </c>
      <c r="E69" s="17">
        <v>3995.0000000000005</v>
      </c>
      <c r="F69" s="18">
        <v>91.899999999999991</v>
      </c>
    </row>
    <row r="70" spans="1:6" x14ac:dyDescent="0.3">
      <c r="A70" s="3" t="s">
        <v>39</v>
      </c>
      <c r="B70" s="4" t="s">
        <v>88</v>
      </c>
      <c r="C70" s="4" t="s">
        <v>152</v>
      </c>
      <c r="D70" s="5">
        <v>79.900000000000006</v>
      </c>
      <c r="E70" s="17">
        <v>3995.0000000000005</v>
      </c>
      <c r="F70" s="18">
        <v>91.899999999999991</v>
      </c>
    </row>
    <row r="71" spans="1:6" x14ac:dyDescent="0.3">
      <c r="A71" s="3" t="s">
        <v>40</v>
      </c>
      <c r="B71" s="4" t="s">
        <v>88</v>
      </c>
      <c r="C71" s="4" t="s">
        <v>153</v>
      </c>
      <c r="D71" s="5">
        <v>79.900000000000006</v>
      </c>
      <c r="E71" s="17">
        <v>3995.0000000000005</v>
      </c>
      <c r="F71" s="18">
        <v>91.899999999999991</v>
      </c>
    </row>
    <row r="72" spans="1:6" x14ac:dyDescent="0.3">
      <c r="A72" s="3" t="s">
        <v>44</v>
      </c>
      <c r="B72" s="4" t="s">
        <v>88</v>
      </c>
      <c r="C72" s="4" t="s">
        <v>154</v>
      </c>
      <c r="D72" s="5">
        <v>79.900000000000006</v>
      </c>
      <c r="E72" s="17">
        <v>3995.0000000000005</v>
      </c>
      <c r="F72" s="18">
        <v>91.899999999999991</v>
      </c>
    </row>
    <row r="73" spans="1:6" x14ac:dyDescent="0.3">
      <c r="A73" s="3" t="s">
        <v>46</v>
      </c>
      <c r="B73" s="4" t="s">
        <v>88</v>
      </c>
      <c r="C73" s="4" t="s">
        <v>149</v>
      </c>
      <c r="D73" s="5">
        <v>79.900000000000006</v>
      </c>
      <c r="E73" s="17">
        <v>3995.0000000000005</v>
      </c>
      <c r="F73" s="18">
        <v>91.899999999999991</v>
      </c>
    </row>
    <row r="74" spans="1:6" x14ac:dyDescent="0.3">
      <c r="A74" s="3" t="s">
        <v>51</v>
      </c>
      <c r="B74" s="4" t="s">
        <v>88</v>
      </c>
      <c r="C74" s="4" t="s">
        <v>155</v>
      </c>
      <c r="D74" s="5">
        <v>79.900000000000006</v>
      </c>
      <c r="E74" s="17">
        <v>3995.0000000000005</v>
      </c>
      <c r="F74" s="18">
        <v>91.899999999999991</v>
      </c>
    </row>
    <row r="75" spans="1:6" x14ac:dyDescent="0.3">
      <c r="A75" s="3" t="s">
        <v>53</v>
      </c>
      <c r="B75" s="4" t="s">
        <v>88</v>
      </c>
      <c r="C75" s="4" t="s">
        <v>156</v>
      </c>
      <c r="D75" s="5">
        <v>79.900000000000006</v>
      </c>
      <c r="E75" s="17">
        <v>3995.0000000000005</v>
      </c>
      <c r="F75" s="18">
        <v>91.899999999999991</v>
      </c>
    </row>
    <row r="76" spans="1:6" x14ac:dyDescent="0.3">
      <c r="A76" s="3" t="s">
        <v>57</v>
      </c>
      <c r="B76" s="4" t="s">
        <v>88</v>
      </c>
      <c r="C76" s="4" t="s">
        <v>156</v>
      </c>
      <c r="D76" s="5">
        <v>79.900000000000006</v>
      </c>
      <c r="E76" s="17">
        <v>3995.0000000000005</v>
      </c>
      <c r="F76" s="18">
        <v>91.899999999999991</v>
      </c>
    </row>
    <row r="77" spans="1:6" x14ac:dyDescent="0.3">
      <c r="A77" s="3" t="s">
        <v>76</v>
      </c>
      <c r="B77" s="4" t="s">
        <v>89</v>
      </c>
      <c r="C77" s="4" t="s">
        <v>157</v>
      </c>
      <c r="D77" s="5">
        <v>79.900000000000006</v>
      </c>
      <c r="E77" s="17">
        <v>3995.0000000000005</v>
      </c>
      <c r="F77" s="18">
        <v>91.899999999999991</v>
      </c>
    </row>
    <row r="78" spans="1:6" x14ac:dyDescent="0.3">
      <c r="A78" s="3" t="s">
        <v>158</v>
      </c>
      <c r="B78" s="4" t="s">
        <v>89</v>
      </c>
      <c r="C78" s="4" t="s">
        <v>157</v>
      </c>
      <c r="D78" s="5">
        <v>79.900000000000006</v>
      </c>
      <c r="E78" s="17">
        <v>3995.0000000000005</v>
      </c>
      <c r="F78" s="18">
        <v>91.899999999999991</v>
      </c>
    </row>
    <row r="79" spans="1:6" x14ac:dyDescent="0.3">
      <c r="A79" s="3" t="s">
        <v>18</v>
      </c>
      <c r="B79" s="4" t="s">
        <v>89</v>
      </c>
      <c r="C79" s="4" t="s">
        <v>159</v>
      </c>
      <c r="D79" s="5">
        <v>84.9</v>
      </c>
      <c r="E79" s="17">
        <v>4245</v>
      </c>
      <c r="F79" s="18">
        <v>97.699999999999989</v>
      </c>
    </row>
    <row r="80" spans="1:6" x14ac:dyDescent="0.3">
      <c r="A80" s="3" t="s">
        <v>160</v>
      </c>
      <c r="B80" s="4" t="s">
        <v>89</v>
      </c>
      <c r="C80" s="4" t="s">
        <v>159</v>
      </c>
      <c r="D80" s="5">
        <v>84.9</v>
      </c>
      <c r="E80" s="17">
        <v>4245</v>
      </c>
      <c r="F80" s="18">
        <v>97.699999999999989</v>
      </c>
    </row>
    <row r="81" spans="1:6" x14ac:dyDescent="0.3">
      <c r="A81" s="3" t="s">
        <v>77</v>
      </c>
      <c r="B81" s="4" t="s">
        <v>89</v>
      </c>
      <c r="C81" s="4" t="s">
        <v>161</v>
      </c>
      <c r="D81" s="5">
        <v>84.9</v>
      </c>
      <c r="E81" s="17">
        <v>4245</v>
      </c>
      <c r="F81" s="18">
        <v>97.699999999999989</v>
      </c>
    </row>
    <row r="82" spans="1:6" x14ac:dyDescent="0.3">
      <c r="A82" s="3" t="s">
        <v>162</v>
      </c>
      <c r="B82" s="4" t="s">
        <v>89</v>
      </c>
      <c r="C82" s="4" t="s">
        <v>161</v>
      </c>
      <c r="D82" s="5">
        <v>84.9</v>
      </c>
      <c r="E82" s="17">
        <v>4245</v>
      </c>
      <c r="F82" s="18">
        <v>97.699999999999989</v>
      </c>
    </row>
    <row r="83" spans="1:6" x14ac:dyDescent="0.3">
      <c r="A83" s="3" t="s">
        <v>35</v>
      </c>
      <c r="B83" s="4" t="s">
        <v>88</v>
      </c>
      <c r="C83" s="4" t="s">
        <v>163</v>
      </c>
      <c r="D83" s="5">
        <v>89.9</v>
      </c>
      <c r="E83" s="17">
        <v>4495</v>
      </c>
      <c r="F83" s="18">
        <v>103.39999999999999</v>
      </c>
    </row>
    <row r="84" spans="1:6" x14ac:dyDescent="0.3">
      <c r="A84" s="3" t="s">
        <v>60</v>
      </c>
      <c r="B84" s="4" t="s">
        <v>89</v>
      </c>
      <c r="C84" s="4" t="s">
        <v>164</v>
      </c>
      <c r="D84" s="5">
        <v>89.9</v>
      </c>
      <c r="E84" s="17">
        <v>4495</v>
      </c>
      <c r="F84" s="18">
        <v>103.39999999999999</v>
      </c>
    </row>
    <row r="85" spans="1:6" x14ac:dyDescent="0.3">
      <c r="A85" s="3" t="s">
        <v>165</v>
      </c>
      <c r="B85" s="4" t="s">
        <v>89</v>
      </c>
      <c r="C85" s="4" t="s">
        <v>164</v>
      </c>
      <c r="D85" s="5">
        <v>89.9</v>
      </c>
      <c r="E85" s="17">
        <v>4495</v>
      </c>
      <c r="F85" s="18">
        <v>103.39999999999999</v>
      </c>
    </row>
    <row r="86" spans="1:6" x14ac:dyDescent="0.3">
      <c r="A86" s="3" t="s">
        <v>4</v>
      </c>
      <c r="B86" s="4" t="s">
        <v>88</v>
      </c>
      <c r="C86" s="4" t="s">
        <v>166</v>
      </c>
      <c r="D86" s="5">
        <v>99.9</v>
      </c>
      <c r="E86" s="17">
        <v>4995</v>
      </c>
      <c r="F86" s="18">
        <v>114.89999999999999</v>
      </c>
    </row>
    <row r="87" spans="1:6" x14ac:dyDescent="0.3">
      <c r="A87" s="3" t="s">
        <v>63</v>
      </c>
      <c r="B87" s="4" t="s">
        <v>87</v>
      </c>
      <c r="C87" s="4" t="s">
        <v>167</v>
      </c>
      <c r="D87" s="5">
        <v>99.9</v>
      </c>
      <c r="E87" s="17">
        <v>4995</v>
      </c>
      <c r="F87" s="18">
        <v>114.89999999999999</v>
      </c>
    </row>
    <row r="88" spans="1:6" x14ac:dyDescent="0.3">
      <c r="A88" s="3" t="s">
        <v>9</v>
      </c>
      <c r="B88" s="4" t="s">
        <v>88</v>
      </c>
      <c r="C88" s="4" t="s">
        <v>168</v>
      </c>
      <c r="D88" s="5">
        <v>149.9</v>
      </c>
      <c r="E88" s="17">
        <v>7495</v>
      </c>
      <c r="F88" s="18">
        <v>172.4</v>
      </c>
    </row>
    <row r="89" spans="1:6" x14ac:dyDescent="0.3">
      <c r="A89" s="3" t="s">
        <v>1</v>
      </c>
      <c r="B89" s="4" t="s">
        <v>89</v>
      </c>
      <c r="C89" s="4" t="s">
        <v>169</v>
      </c>
      <c r="D89" s="5">
        <v>199.9</v>
      </c>
      <c r="E89" s="17">
        <v>9995</v>
      </c>
      <c r="F89" s="18">
        <v>229.9</v>
      </c>
    </row>
    <row r="90" spans="1:6" x14ac:dyDescent="0.3">
      <c r="A90" s="3" t="s">
        <v>170</v>
      </c>
      <c r="B90" s="4" t="s">
        <v>89</v>
      </c>
      <c r="C90" s="4" t="s">
        <v>169</v>
      </c>
      <c r="D90" s="5">
        <v>199.9</v>
      </c>
      <c r="E90" s="17">
        <v>9995</v>
      </c>
      <c r="F90" s="18">
        <v>229.9</v>
      </c>
    </row>
    <row r="91" spans="1:6" x14ac:dyDescent="0.3">
      <c r="A91" s="3" t="s">
        <v>2</v>
      </c>
      <c r="B91" s="4" t="s">
        <v>88</v>
      </c>
      <c r="C91" s="4" t="s">
        <v>171</v>
      </c>
      <c r="D91" s="5">
        <v>199.9</v>
      </c>
      <c r="E91" s="17">
        <v>9995</v>
      </c>
      <c r="F91" s="18">
        <v>229.9</v>
      </c>
    </row>
    <row r="92" spans="1:6" x14ac:dyDescent="0.3">
      <c r="A92" s="3" t="s">
        <v>29</v>
      </c>
      <c r="B92" s="4" t="s">
        <v>88</v>
      </c>
      <c r="C92" s="4" t="s">
        <v>172</v>
      </c>
      <c r="D92" s="5">
        <v>199.9</v>
      </c>
      <c r="E92" s="17">
        <v>9995</v>
      </c>
      <c r="F92" s="18">
        <v>229.9</v>
      </c>
    </row>
    <row r="93" spans="1:6" x14ac:dyDescent="0.3">
      <c r="A93" s="3" t="s">
        <v>5</v>
      </c>
      <c r="B93" s="4" t="s">
        <v>88</v>
      </c>
      <c r="C93" s="4" t="s">
        <v>173</v>
      </c>
      <c r="D93" s="5">
        <v>399.9</v>
      </c>
      <c r="E93" s="17">
        <v>19995</v>
      </c>
      <c r="F93" s="18">
        <v>459.90000000000003</v>
      </c>
    </row>
    <row r="94" spans="1:6" ht="15" thickBot="1" x14ac:dyDescent="0.35">
      <c r="A94" s="6" t="s">
        <v>25</v>
      </c>
      <c r="B94" s="8" t="s">
        <v>88</v>
      </c>
      <c r="C94" s="4" t="s">
        <v>174</v>
      </c>
      <c r="D94" s="7">
        <v>399.9</v>
      </c>
      <c r="E94" s="20">
        <v>19995</v>
      </c>
      <c r="F94" s="21">
        <v>459.90000000000003</v>
      </c>
    </row>
  </sheetData>
  <autoFilter ref="A2:E85" xr:uid="{00000000-0009-0000-0000-000000000000}"/>
  <conditionalFormatting sqref="A18">
    <cfRule type="duplicateValues" dxfId="6" priority="2"/>
  </conditionalFormatting>
  <conditionalFormatting sqref="A2:B2 A3:A17 A19:A94">
    <cfRule type="duplicateValues" dxfId="5" priority="3"/>
  </conditionalFormatting>
  <conditionalFormatting sqref="A95:B1048576 A2:B2 A1 A3:A94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CSM  PRICE LIST 26.1.1</vt:lpstr>
      <vt:lpstr>CSM  PRICE LIST 26.1.0</vt:lpstr>
      <vt:lpstr>CSM  PRICE LIST 26.0.1</vt:lpstr>
      <vt:lpstr>CSM  PRICE LIST 25.6.3</vt:lpstr>
      <vt:lpstr>CSM  PRICE LIST 25.6.2</vt:lpstr>
      <vt:lpstr>'CSM  PRICE LIST 26.0.1'!EURKUR</vt:lpstr>
      <vt:lpstr>'CSM  PRICE LIST 26.1.0'!EURKUR</vt:lpstr>
      <vt:lpstr>'CSM  PRICE LIST 26.1.1'!EURKUR</vt:lpstr>
      <vt:lpstr>EURKUR</vt:lpstr>
      <vt:lpstr>'CSM  PRICE LIST 26.0.1'!Print_Area</vt:lpstr>
      <vt:lpstr>'CSM  PRICE LIST 26.1.0'!Print_Area</vt:lpstr>
      <vt:lpstr>'CSM  PRICE LIST 26.1.1'!Print_Area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Cemal KARABEL</dc:creator>
  <cp:lastModifiedBy>Contact</cp:lastModifiedBy>
  <dcterms:created xsi:type="dcterms:W3CDTF">2025-05-29T18:24:44Z</dcterms:created>
  <dcterms:modified xsi:type="dcterms:W3CDTF">2026-03-17T15:12:22Z</dcterms:modified>
</cp:coreProperties>
</file>