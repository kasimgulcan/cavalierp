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simGulcan\Desktop\CSM\"/>
    </mc:Choice>
  </mc:AlternateContent>
  <bookViews>
    <workbookView xWindow="0" yWindow="0" windowWidth="38400" windowHeight="17730" tabRatio="695"/>
  </bookViews>
  <sheets>
    <sheet name="CSM  PRICE LIST 26.1.3" sheetId="18" r:id="rId1"/>
    <sheet name="MASTER PRICE LIST" sheetId="1" r:id="rId2"/>
    <sheet name="PERAKENDE FİYAT LİSTESİ FULL" sheetId="21" r:id="rId3"/>
    <sheet name="BAYİ FİYAT LİSTESİ" sheetId="22" r:id="rId4"/>
  </sheets>
  <externalReferences>
    <externalReference r:id="rId5"/>
  </externalReferences>
  <definedNames>
    <definedName name="_xlnm._FilterDatabase" localSheetId="3" hidden="1">'BAYİ FİYAT LİSTESİ'!$B$9:$H$117</definedName>
    <definedName name="_xlnm._FilterDatabase" localSheetId="0" hidden="1">'CSM  PRICE LIST 26.1.3'!$A$2:$G$109</definedName>
    <definedName name="_xlnm._FilterDatabase" localSheetId="1" hidden="1">'MASTER PRICE LIST'!$B$9:$K$117</definedName>
    <definedName name="_xlnm._FilterDatabase" localSheetId="2" hidden="1">'PERAKENDE FİYAT LİSTESİ FULL'!$B$9:$XFA$117</definedName>
    <definedName name="EURKUR">'CSM  PRICE LIST 26.1.3'!$E$1</definedName>
    <definedName name="_xlnm.Print_Area" localSheetId="3">'BAYİ FİYAT LİSTESİ'!$B$2:$G$117</definedName>
    <definedName name="_xlnm.Print_Area" localSheetId="0">'CSM  PRICE LIST 26.1.3'!$A$1:$G$109</definedName>
    <definedName name="_xlnm.Print_Area" localSheetId="1">'MASTER PRICE LIST'!$B$2:$K$117</definedName>
    <definedName name="_xlnm.Print_Area" localSheetId="2">'PERAKENDE FİYAT LİSTESİ FULL'!$B$2:$H$119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2" i="1" l="1"/>
  <c r="E82" i="22" s="1"/>
  <c r="F82" i="1"/>
  <c r="J82" i="1" s="1"/>
  <c r="G70" i="18"/>
  <c r="B70" i="18"/>
  <c r="C82" i="1" s="1"/>
  <c r="C70" i="18"/>
  <c r="D82" i="22" s="1"/>
  <c r="E82" i="21" l="1"/>
  <c r="I82" i="1"/>
  <c r="H82" i="1"/>
  <c r="H82" i="21" s="1"/>
  <c r="G82" i="1"/>
  <c r="G82" i="21" s="1"/>
  <c r="F82" i="21"/>
  <c r="C82" i="22"/>
  <c r="D82" i="1"/>
  <c r="F82" i="22"/>
  <c r="G82" i="22" s="1"/>
  <c r="C82" i="21"/>
  <c r="K82" i="1"/>
  <c r="D82" i="21"/>
  <c r="E70" i="18"/>
  <c r="F70" i="18"/>
  <c r="E104" i="1"/>
  <c r="E104" i="22" s="1"/>
  <c r="G92" i="18"/>
  <c r="G93" i="18"/>
  <c r="G94" i="18"/>
  <c r="G95" i="18"/>
  <c r="G96" i="18"/>
  <c r="G97" i="18"/>
  <c r="G98" i="18"/>
  <c r="G99" i="18"/>
  <c r="G100" i="18"/>
  <c r="G101" i="18"/>
  <c r="G102" i="18"/>
  <c r="G103" i="18"/>
  <c r="G104" i="18"/>
  <c r="G105" i="18"/>
  <c r="G106" i="18"/>
  <c r="G107" i="18"/>
  <c r="G108" i="18"/>
  <c r="G109" i="18"/>
  <c r="C92" i="18"/>
  <c r="D104" i="22" s="1"/>
  <c r="C93" i="18"/>
  <c r="C94" i="18"/>
  <c r="C95" i="18"/>
  <c r="C96" i="18"/>
  <c r="D108" i="1" s="1"/>
  <c r="C97" i="18"/>
  <c r="C98" i="18"/>
  <c r="C99" i="18"/>
  <c r="D109" i="21" s="1"/>
  <c r="C100" i="18"/>
  <c r="D110" i="22" s="1"/>
  <c r="C101" i="18"/>
  <c r="D111" i="1" s="1"/>
  <c r="C102" i="18"/>
  <c r="D112" i="21" s="1"/>
  <c r="C103" i="18"/>
  <c r="C104" i="18"/>
  <c r="C105" i="18"/>
  <c r="C106" i="18"/>
  <c r="C107" i="18"/>
  <c r="C108" i="18"/>
  <c r="C109"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1" i="18"/>
  <c r="G72" i="18"/>
  <c r="G73" i="18"/>
  <c r="G74" i="18"/>
  <c r="G75" i="18"/>
  <c r="G76" i="18"/>
  <c r="G77" i="18"/>
  <c r="G78" i="18"/>
  <c r="G79" i="18"/>
  <c r="G80" i="18"/>
  <c r="G81" i="18"/>
  <c r="G82" i="18"/>
  <c r="G83" i="18"/>
  <c r="G84" i="18"/>
  <c r="G85" i="18"/>
  <c r="G86" i="18"/>
  <c r="G87" i="18"/>
  <c r="G88" i="18"/>
  <c r="G89" i="18"/>
  <c r="G90" i="18"/>
  <c r="G91" i="18"/>
  <c r="B4" i="18"/>
  <c r="C4" i="18"/>
  <c r="B5" i="18"/>
  <c r="C5" i="18"/>
  <c r="B6" i="18"/>
  <c r="C6" i="18"/>
  <c r="B7" i="18"/>
  <c r="C7" i="18"/>
  <c r="B8" i="18"/>
  <c r="C8" i="18"/>
  <c r="B9" i="18"/>
  <c r="C9" i="18"/>
  <c r="B10" i="18"/>
  <c r="C10" i="18"/>
  <c r="B11" i="18"/>
  <c r="C11" i="18"/>
  <c r="B12" i="18"/>
  <c r="C12" i="18"/>
  <c r="B13" i="18"/>
  <c r="C13" i="18"/>
  <c r="B14" i="18"/>
  <c r="C14" i="18"/>
  <c r="B15" i="18"/>
  <c r="C15" i="18"/>
  <c r="B16" i="18"/>
  <c r="C16" i="18"/>
  <c r="B17" i="18"/>
  <c r="C17" i="18"/>
  <c r="B18" i="18"/>
  <c r="C18" i="18"/>
  <c r="B19" i="18"/>
  <c r="C19" i="18"/>
  <c r="B20" i="18"/>
  <c r="C20" i="18"/>
  <c r="B21" i="18"/>
  <c r="C21" i="18"/>
  <c r="B22" i="18"/>
  <c r="C22" i="18"/>
  <c r="B23" i="18"/>
  <c r="C23" i="18"/>
  <c r="B24" i="18"/>
  <c r="C24" i="18"/>
  <c r="B25" i="18"/>
  <c r="C25" i="18"/>
  <c r="B26" i="18"/>
  <c r="C26" i="18"/>
  <c r="B27" i="18"/>
  <c r="C27" i="18"/>
  <c r="B28" i="18"/>
  <c r="C28" i="18"/>
  <c r="B29" i="18"/>
  <c r="C29" i="18"/>
  <c r="B30" i="18"/>
  <c r="C30" i="18"/>
  <c r="B31" i="18"/>
  <c r="C31" i="18"/>
  <c r="B32" i="18"/>
  <c r="C32" i="18"/>
  <c r="B33" i="18"/>
  <c r="C33" i="18"/>
  <c r="B34" i="18"/>
  <c r="C34" i="18"/>
  <c r="B35" i="18"/>
  <c r="C35" i="18"/>
  <c r="B36" i="18"/>
  <c r="C36" i="18"/>
  <c r="B37" i="18"/>
  <c r="C37" i="18"/>
  <c r="B38" i="18"/>
  <c r="C38" i="18"/>
  <c r="B39" i="18"/>
  <c r="C39" i="18"/>
  <c r="B40" i="18"/>
  <c r="C40" i="18"/>
  <c r="B41" i="18"/>
  <c r="C41" i="18"/>
  <c r="B42" i="18"/>
  <c r="C42" i="18"/>
  <c r="B43" i="18"/>
  <c r="C43" i="18"/>
  <c r="B44" i="18"/>
  <c r="C44" i="18"/>
  <c r="B45" i="18"/>
  <c r="C45" i="18"/>
  <c r="B46" i="18"/>
  <c r="C46" i="18"/>
  <c r="B47" i="18"/>
  <c r="C47" i="18"/>
  <c r="B48" i="18"/>
  <c r="C48" i="18"/>
  <c r="B49" i="18"/>
  <c r="C49" i="18"/>
  <c r="B50" i="18"/>
  <c r="C50" i="18"/>
  <c r="B51" i="18"/>
  <c r="C51" i="18"/>
  <c r="B52" i="18"/>
  <c r="C52" i="18"/>
  <c r="B53" i="18"/>
  <c r="C53" i="18"/>
  <c r="B54" i="18"/>
  <c r="C54" i="18"/>
  <c r="B55" i="18"/>
  <c r="C55" i="18"/>
  <c r="B56" i="18"/>
  <c r="C56" i="18"/>
  <c r="B57" i="18"/>
  <c r="C57" i="18"/>
  <c r="B58" i="18"/>
  <c r="C58" i="18"/>
  <c r="B59" i="18"/>
  <c r="C59" i="18"/>
  <c r="B60" i="18"/>
  <c r="C60" i="18"/>
  <c r="B61" i="18"/>
  <c r="C61" i="18"/>
  <c r="B62" i="18"/>
  <c r="C62" i="18"/>
  <c r="B63" i="18"/>
  <c r="C63" i="18"/>
  <c r="B64" i="18"/>
  <c r="C64" i="18"/>
  <c r="B65" i="18"/>
  <c r="C65" i="18"/>
  <c r="B66" i="18"/>
  <c r="C66" i="18"/>
  <c r="B67" i="18"/>
  <c r="C67" i="18"/>
  <c r="B68" i="18"/>
  <c r="C68" i="18"/>
  <c r="B69" i="18"/>
  <c r="C69" i="18"/>
  <c r="B71" i="18"/>
  <c r="C71" i="18"/>
  <c r="B72" i="18"/>
  <c r="C72" i="18"/>
  <c r="B73" i="18"/>
  <c r="C73" i="18"/>
  <c r="B74" i="18"/>
  <c r="C74" i="18"/>
  <c r="B75" i="18"/>
  <c r="C75" i="18"/>
  <c r="B76" i="18"/>
  <c r="C76" i="18"/>
  <c r="B77" i="18"/>
  <c r="C77" i="18"/>
  <c r="B78" i="18"/>
  <c r="C78" i="18"/>
  <c r="B79" i="18"/>
  <c r="C79" i="18"/>
  <c r="B80" i="18"/>
  <c r="C80" i="18"/>
  <c r="B81" i="18"/>
  <c r="C81" i="18"/>
  <c r="B82" i="18"/>
  <c r="C82" i="18"/>
  <c r="B83" i="18"/>
  <c r="C83" i="18"/>
  <c r="B84" i="18"/>
  <c r="C84" i="18"/>
  <c r="B85" i="18"/>
  <c r="C85" i="18"/>
  <c r="B86" i="18"/>
  <c r="C86" i="18"/>
  <c r="B87" i="18"/>
  <c r="C87" i="18"/>
  <c r="B88" i="18"/>
  <c r="C88" i="18"/>
  <c r="B89" i="18"/>
  <c r="C89" i="18"/>
  <c r="B90" i="18"/>
  <c r="C90" i="18"/>
  <c r="B91" i="18"/>
  <c r="C91" i="18"/>
  <c r="G3" i="18"/>
  <c r="C3" i="18"/>
  <c r="B3" i="18"/>
  <c r="B92" i="18"/>
  <c r="C104" i="22" s="1"/>
  <c r="B93" i="18"/>
  <c r="B94" i="18"/>
  <c r="B95" i="18"/>
  <c r="B96" i="18"/>
  <c r="C108" i="22" s="1"/>
  <c r="B97" i="18"/>
  <c r="B98" i="18"/>
  <c r="B99" i="18"/>
  <c r="C109" i="1" s="1"/>
  <c r="B100" i="18"/>
  <c r="C110" i="22" s="1"/>
  <c r="B101" i="18"/>
  <c r="C111" i="1" s="1"/>
  <c r="B102" i="18"/>
  <c r="C112" i="22" s="1"/>
  <c r="B103" i="18"/>
  <c r="B104" i="18"/>
  <c r="B105" i="18"/>
  <c r="B106" i="18"/>
  <c r="B107" i="18"/>
  <c r="B108" i="18"/>
  <c r="E92" i="18"/>
  <c r="F104" i="1" s="1"/>
  <c r="K104" i="1" s="1"/>
  <c r="F92" i="18"/>
  <c r="E108" i="1"/>
  <c r="E108" i="21" s="1"/>
  <c r="E109" i="1"/>
  <c r="E109" i="21" s="1"/>
  <c r="E110" i="1"/>
  <c r="E110" i="22" s="1"/>
  <c r="E111" i="1"/>
  <c r="E111" i="22" s="1"/>
  <c r="E112" i="1"/>
  <c r="E112" i="21" s="1"/>
  <c r="E102" i="18"/>
  <c r="F112" i="1" s="1"/>
  <c r="F102" i="18"/>
  <c r="E100" i="18"/>
  <c r="F110" i="1" s="1"/>
  <c r="F100" i="18"/>
  <c r="E96" i="18"/>
  <c r="F108" i="1" s="1"/>
  <c r="F96" i="18"/>
  <c r="C108" i="1" l="1"/>
  <c r="C112" i="21"/>
  <c r="D111" i="21"/>
  <c r="C112" i="1"/>
  <c r="D108" i="22"/>
  <c r="D111" i="22"/>
  <c r="D112" i="22"/>
  <c r="D110" i="21"/>
  <c r="H104" i="1"/>
  <c r="H105" i="21" s="1"/>
  <c r="D108" i="21"/>
  <c r="E105" i="21"/>
  <c r="D110" i="1"/>
  <c r="C108" i="21"/>
  <c r="D105" i="21"/>
  <c r="C111" i="21"/>
  <c r="C105" i="21"/>
  <c r="C110" i="1"/>
  <c r="D104" i="1"/>
  <c r="C110" i="21"/>
  <c r="C104" i="1"/>
  <c r="C109" i="21"/>
  <c r="C111" i="22"/>
  <c r="F104" i="22"/>
  <c r="G104" i="22" s="1"/>
  <c r="D112" i="1"/>
  <c r="J104" i="1"/>
  <c r="I104" i="1"/>
  <c r="F105" i="21"/>
  <c r="G104" i="1"/>
  <c r="G105" i="21" s="1"/>
  <c r="D109" i="22"/>
  <c r="D109" i="1"/>
  <c r="C109" i="22"/>
  <c r="E109" i="22"/>
  <c r="E112" i="22"/>
  <c r="G112" i="1"/>
  <c r="G112" i="21" s="1"/>
  <c r="F112" i="21"/>
  <c r="F112" i="22"/>
  <c r="G112" i="22" s="1"/>
  <c r="G108" i="1"/>
  <c r="G108" i="21" s="1"/>
  <c r="F108" i="21"/>
  <c r="H108" i="1"/>
  <c r="H108" i="21" s="1"/>
  <c r="F108" i="22"/>
  <c r="G108" i="22" s="1"/>
  <c r="I108" i="1"/>
  <c r="J108" i="1"/>
  <c r="K108" i="1"/>
  <c r="I110" i="1"/>
  <c r="G110" i="1"/>
  <c r="G110" i="21" s="1"/>
  <c r="H110" i="1"/>
  <c r="H110" i="21" s="1"/>
  <c r="F110" i="22"/>
  <c r="G110" i="22" s="1"/>
  <c r="F110" i="21"/>
  <c r="E110" i="21"/>
  <c r="E111" i="21"/>
  <c r="E108" i="22"/>
  <c r="K112" i="1"/>
  <c r="J112" i="1"/>
  <c r="I112" i="1"/>
  <c r="K110" i="1"/>
  <c r="H112" i="1"/>
  <c r="H112" i="21" s="1"/>
  <c r="J110" i="1"/>
  <c r="C20" i="22" l="1"/>
  <c r="D20" i="22"/>
  <c r="C20" i="21"/>
  <c r="D20" i="21"/>
  <c r="C20" i="1"/>
  <c r="D20" i="1"/>
  <c r="E20" i="1"/>
  <c r="E20" i="21" s="1"/>
  <c r="F12" i="18"/>
  <c r="E12" i="18"/>
  <c r="F20" i="1" s="1"/>
  <c r="F20" i="22" s="1"/>
  <c r="G20" i="22" s="1"/>
  <c r="C13" i="22"/>
  <c r="D13" i="22"/>
  <c r="C13" i="21"/>
  <c r="D13" i="21"/>
  <c r="C13" i="1"/>
  <c r="D13" i="1"/>
  <c r="E13" i="1"/>
  <c r="E13" i="22" s="1"/>
  <c r="E5" i="18"/>
  <c r="F13" i="1" s="1"/>
  <c r="K13" i="1" s="1"/>
  <c r="F5" i="18"/>
  <c r="C8" i="1"/>
  <c r="C102" i="22"/>
  <c r="D102" i="22"/>
  <c r="C102" i="21"/>
  <c r="D102" i="21"/>
  <c r="C102" i="1"/>
  <c r="D102" i="1"/>
  <c r="E102" i="1"/>
  <c r="E102" i="22" s="1"/>
  <c r="F90" i="18"/>
  <c r="E90" i="18"/>
  <c r="F102" i="1" s="1"/>
  <c r="G102" i="1" s="1"/>
  <c r="C106" i="22"/>
  <c r="D106" i="22"/>
  <c r="C106" i="21"/>
  <c r="D106" i="21"/>
  <c r="C106" i="1"/>
  <c r="D106" i="1"/>
  <c r="E106" i="1"/>
  <c r="E106" i="22" s="1"/>
  <c r="E94" i="18"/>
  <c r="F106" i="1" s="1"/>
  <c r="I106" i="1" s="1"/>
  <c r="F94" i="18"/>
  <c r="C98" i="22"/>
  <c r="D98" i="22"/>
  <c r="C94" i="22"/>
  <c r="D94" i="22"/>
  <c r="C99" i="22"/>
  <c r="D99" i="22"/>
  <c r="C95" i="22"/>
  <c r="D95" i="22"/>
  <c r="C98" i="21"/>
  <c r="D98" i="21"/>
  <c r="C94" i="21"/>
  <c r="D94" i="21"/>
  <c r="C99" i="21"/>
  <c r="D99" i="21"/>
  <c r="E98" i="1"/>
  <c r="E98" i="21" s="1"/>
  <c r="E94" i="1"/>
  <c r="E94" i="22" s="1"/>
  <c r="E99" i="1"/>
  <c r="E99" i="21" s="1"/>
  <c r="C94" i="1"/>
  <c r="D94" i="1"/>
  <c r="C99" i="1"/>
  <c r="D99" i="1"/>
  <c r="C98" i="1"/>
  <c r="D98" i="1"/>
  <c r="E86" i="18"/>
  <c r="F98" i="1" s="1"/>
  <c r="G98" i="1" s="1"/>
  <c r="E82" i="18"/>
  <c r="F94" i="1" s="1"/>
  <c r="I94" i="1" s="1"/>
  <c r="E87" i="18"/>
  <c r="F99" i="1" s="1"/>
  <c r="I99" i="1" s="1"/>
  <c r="F87" i="18"/>
  <c r="F86" i="18"/>
  <c r="C27" i="22"/>
  <c r="D27" i="22"/>
  <c r="C27" i="21"/>
  <c r="D27" i="21"/>
  <c r="C27" i="1"/>
  <c r="D27" i="1"/>
  <c r="E27" i="1"/>
  <c r="E27" i="22" s="1"/>
  <c r="E24" i="18"/>
  <c r="F27" i="1" s="1"/>
  <c r="F27" i="21" s="1"/>
  <c r="F24" i="18"/>
  <c r="H117" i="22"/>
  <c r="H116" i="22"/>
  <c r="H115" i="22"/>
  <c r="H114" i="22"/>
  <c r="H113" i="22"/>
  <c r="H111" i="22"/>
  <c r="H109" i="22"/>
  <c r="H107" i="22"/>
  <c r="H105" i="22"/>
  <c r="H103" i="22"/>
  <c r="H101" i="22"/>
  <c r="H100" i="22"/>
  <c r="H99" i="22"/>
  <c r="H98" i="22"/>
  <c r="H97" i="22"/>
  <c r="H95" i="22"/>
  <c r="H93" i="22"/>
  <c r="H92" i="22"/>
  <c r="H91" i="22"/>
  <c r="H90" i="22"/>
  <c r="H89" i="22"/>
  <c r="H88" i="22"/>
  <c r="H87" i="22"/>
  <c r="H86" i="22"/>
  <c r="H85" i="22"/>
  <c r="H84" i="22"/>
  <c r="H83" i="22"/>
  <c r="H81" i="22"/>
  <c r="H80" i="22"/>
  <c r="H79" i="22"/>
  <c r="H78" i="22"/>
  <c r="H77" i="22"/>
  <c r="H76" i="22"/>
  <c r="H75" i="22"/>
  <c r="H74" i="22"/>
  <c r="H73" i="22"/>
  <c r="H72" i="22"/>
  <c r="H71" i="22"/>
  <c r="H70" i="22"/>
  <c r="H69" i="22"/>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4" i="22"/>
  <c r="H23" i="22"/>
  <c r="H22" i="22"/>
  <c r="H20" i="22"/>
  <c r="H19" i="22"/>
  <c r="H18" i="22"/>
  <c r="H17" i="22"/>
  <c r="H16" i="22"/>
  <c r="H15" i="22"/>
  <c r="H14" i="22"/>
  <c r="H12" i="22"/>
  <c r="H11" i="22"/>
  <c r="E10" i="18"/>
  <c r="E9" i="18"/>
  <c r="E15" i="18"/>
  <c r="E14" i="18"/>
  <c r="E11" i="18"/>
  <c r="E13" i="18"/>
  <c r="E16" i="18"/>
  <c r="E17" i="18"/>
  <c r="E18" i="18"/>
  <c r="E19" i="18"/>
  <c r="E20" i="18"/>
  <c r="E21" i="18"/>
  <c r="E22" i="18"/>
  <c r="E23" i="18"/>
  <c r="E25" i="18"/>
  <c r="E26" i="18"/>
  <c r="E27" i="18"/>
  <c r="E28" i="18"/>
  <c r="E29" i="18"/>
  <c r="E34" i="18"/>
  <c r="E38" i="18"/>
  <c r="E39" i="18"/>
  <c r="E30" i="18"/>
  <c r="E35" i="18"/>
  <c r="E36" i="18"/>
  <c r="E37" i="18"/>
  <c r="E31" i="18"/>
  <c r="E32" i="18"/>
  <c r="E33" i="18"/>
  <c r="E42" i="18"/>
  <c r="E43" i="18"/>
  <c r="E44" i="18"/>
  <c r="E45" i="18"/>
  <c r="E40" i="18"/>
  <c r="E41" i="18"/>
  <c r="E46" i="18"/>
  <c r="E47" i="18"/>
  <c r="E48" i="18"/>
  <c r="E49" i="18"/>
  <c r="E50" i="18"/>
  <c r="E51" i="18"/>
  <c r="E52" i="18"/>
  <c r="E53" i="18"/>
  <c r="E54" i="18"/>
  <c r="E55" i="18"/>
  <c r="E56" i="18"/>
  <c r="E57" i="18"/>
  <c r="E60" i="18"/>
  <c r="E61" i="18"/>
  <c r="E64" i="18"/>
  <c r="E65" i="18"/>
  <c r="E58" i="18"/>
  <c r="E59" i="18"/>
  <c r="E66" i="18"/>
  <c r="E67" i="18"/>
  <c r="E62" i="18"/>
  <c r="E63" i="18"/>
  <c r="E75" i="18"/>
  <c r="E76" i="18"/>
  <c r="E84" i="18"/>
  <c r="E68" i="18"/>
  <c r="E69" i="18"/>
  <c r="E71" i="18"/>
  <c r="E72" i="18"/>
  <c r="E73" i="18"/>
  <c r="E74" i="18"/>
  <c r="E77" i="18"/>
  <c r="E79" i="18"/>
  <c r="E80" i="18"/>
  <c r="E81" i="18"/>
  <c r="E83" i="18"/>
  <c r="E78" i="18"/>
  <c r="E88" i="18"/>
  <c r="E85" i="18"/>
  <c r="E89" i="18"/>
  <c r="E91" i="18"/>
  <c r="E93" i="18"/>
  <c r="E95" i="18"/>
  <c r="E97" i="18"/>
  <c r="E98" i="18"/>
  <c r="E99" i="18"/>
  <c r="F109" i="1" s="1"/>
  <c r="E101" i="18"/>
  <c r="F111" i="1" s="1"/>
  <c r="E103" i="18"/>
  <c r="E104" i="18"/>
  <c r="E105" i="18"/>
  <c r="E106" i="18"/>
  <c r="E107" i="18"/>
  <c r="E108" i="18"/>
  <c r="E109" i="18"/>
  <c r="E6" i="18"/>
  <c r="E7" i="18"/>
  <c r="E8" i="18"/>
  <c r="E4" i="18"/>
  <c r="E3" i="18"/>
  <c r="H111" i="1" l="1"/>
  <c r="H111" i="21" s="1"/>
  <c r="F111" i="22"/>
  <c r="G111" i="22" s="1"/>
  <c r="F111" i="21"/>
  <c r="G111" i="1"/>
  <c r="G111" i="21" s="1"/>
  <c r="I111" i="1"/>
  <c r="K111" i="1"/>
  <c r="J111" i="1"/>
  <c r="J109" i="1"/>
  <c r="F109" i="22"/>
  <c r="G109" i="22" s="1"/>
  <c r="F109" i="21"/>
  <c r="G109" i="1"/>
  <c r="G109" i="21" s="1"/>
  <c r="H109" i="1"/>
  <c r="H109" i="21" s="1"/>
  <c r="I109" i="1"/>
  <c r="K109" i="1"/>
  <c r="G13" i="1"/>
  <c r="G13" i="21" s="1"/>
  <c r="H98" i="1"/>
  <c r="H94" i="1"/>
  <c r="H94" i="21" s="1"/>
  <c r="H13" i="1"/>
  <c r="H13" i="21" s="1"/>
  <c r="G99" i="1"/>
  <c r="G99" i="21" s="1"/>
  <c r="G94" i="1"/>
  <c r="H102" i="1"/>
  <c r="H102" i="21" s="1"/>
  <c r="H20" i="1"/>
  <c r="H20" i="21" s="1"/>
  <c r="G20" i="1"/>
  <c r="G20" i="21" s="1"/>
  <c r="G27" i="1"/>
  <c r="H106" i="1"/>
  <c r="H106" i="21" s="1"/>
  <c r="H27" i="1"/>
  <c r="H27" i="21" s="1"/>
  <c r="H99" i="1"/>
  <c r="H99" i="21" s="1"/>
  <c r="G106" i="1"/>
  <c r="G106" i="21" s="1"/>
  <c r="E20" i="22"/>
  <c r="K20" i="1"/>
  <c r="J20" i="1"/>
  <c r="I20" i="1"/>
  <c r="F20" i="21"/>
  <c r="E13" i="21"/>
  <c r="J13" i="1"/>
  <c r="I13" i="1"/>
  <c r="F13" i="22"/>
  <c r="G13" i="22" s="1"/>
  <c r="F13" i="21"/>
  <c r="I27" i="1"/>
  <c r="F102" i="21"/>
  <c r="E102" i="21"/>
  <c r="I98" i="1"/>
  <c r="K106" i="1"/>
  <c r="K102" i="1"/>
  <c r="I102" i="1"/>
  <c r="F102" i="22"/>
  <c r="G102" i="22" s="1"/>
  <c r="J102" i="1"/>
  <c r="G102" i="21"/>
  <c r="E106" i="21"/>
  <c r="J106" i="1"/>
  <c r="F106" i="22"/>
  <c r="G106" i="22" s="1"/>
  <c r="F106" i="21"/>
  <c r="E98" i="22"/>
  <c r="E94" i="21"/>
  <c r="F98" i="22"/>
  <c r="G98" i="22" s="1"/>
  <c r="E99" i="22"/>
  <c r="F98" i="21"/>
  <c r="F99" i="21"/>
  <c r="F94" i="22"/>
  <c r="G94" i="22" s="1"/>
  <c r="F94" i="21"/>
  <c r="F99" i="22"/>
  <c r="G99" i="22" s="1"/>
  <c r="K98" i="1"/>
  <c r="K94" i="1"/>
  <c r="J98" i="1"/>
  <c r="K99" i="1"/>
  <c r="J94" i="1"/>
  <c r="J99" i="1"/>
  <c r="E27" i="21"/>
  <c r="F27" i="22"/>
  <c r="G27" i="22" s="1"/>
  <c r="J27" i="1"/>
  <c r="K27" i="1"/>
  <c r="F79" i="18"/>
  <c r="F71" i="18"/>
  <c r="F72" i="18"/>
  <c r="F73" i="18"/>
  <c r="D8" i="1"/>
  <c r="F4" i="18"/>
  <c r="F8" i="18"/>
  <c r="F10" i="18"/>
  <c r="F11" i="18"/>
  <c r="F6" i="18"/>
  <c r="F9" i="18"/>
  <c r="F7" i="18"/>
  <c r="F16" i="18"/>
  <c r="F17" i="18"/>
  <c r="F14" i="18"/>
  <c r="F18" i="18"/>
  <c r="F19" i="18"/>
  <c r="F20" i="18"/>
  <c r="F15" i="18"/>
  <c r="F21" i="18"/>
  <c r="F22" i="18"/>
  <c r="F13" i="18"/>
  <c r="F23" i="18"/>
  <c r="F31" i="18"/>
  <c r="F32" i="18"/>
  <c r="F25" i="18"/>
  <c r="F26" i="18"/>
  <c r="F42" i="18"/>
  <c r="F43" i="18"/>
  <c r="F27" i="18"/>
  <c r="F28" i="18"/>
  <c r="F33" i="18"/>
  <c r="F34" i="18"/>
  <c r="F44" i="18"/>
  <c r="F45" i="18"/>
  <c r="F29" i="18"/>
  <c r="F38" i="18"/>
  <c r="F39" i="18"/>
  <c r="F30" i="18"/>
  <c r="F50" i="18"/>
  <c r="F75" i="18"/>
  <c r="F51" i="18"/>
  <c r="F76" i="18"/>
  <c r="F40" i="18"/>
  <c r="F41" i="18"/>
  <c r="F60" i="18"/>
  <c r="F52" i="18"/>
  <c r="F61" i="18"/>
  <c r="F53" i="18"/>
  <c r="F35" i="18"/>
  <c r="F36" i="18"/>
  <c r="F37" i="18"/>
  <c r="F54" i="18"/>
  <c r="F55" i="18"/>
  <c r="F48" i="18"/>
  <c r="F49" i="18"/>
  <c r="F88" i="18"/>
  <c r="F84" i="18"/>
  <c r="F46" i="18"/>
  <c r="F47" i="18"/>
  <c r="F56" i="18"/>
  <c r="F68" i="18"/>
  <c r="F69" i="18"/>
  <c r="F74" i="18"/>
  <c r="F77" i="18"/>
  <c r="F89" i="18"/>
  <c r="F91" i="18"/>
  <c r="F93" i="18"/>
  <c r="F80" i="18"/>
  <c r="F81" i="18"/>
  <c r="F82" i="18"/>
  <c r="F83" i="18"/>
  <c r="F64" i="18"/>
  <c r="F65" i="18"/>
  <c r="F58" i="18"/>
  <c r="F59" i="18"/>
  <c r="F66" i="18"/>
  <c r="F67" i="18"/>
  <c r="F78" i="18"/>
  <c r="F62" i="18"/>
  <c r="F63" i="18"/>
  <c r="F85" i="18"/>
  <c r="F57" i="18"/>
  <c r="F95" i="18"/>
  <c r="F97" i="18"/>
  <c r="F98" i="18"/>
  <c r="F103" i="18"/>
  <c r="F104" i="18"/>
  <c r="F99" i="18"/>
  <c r="F101" i="18"/>
  <c r="F105" i="18"/>
  <c r="F108" i="18"/>
  <c r="F106" i="18"/>
  <c r="F109" i="18"/>
  <c r="F107" i="18"/>
  <c r="F3" i="18"/>
  <c r="G94" i="21" l="1"/>
  <c r="H98" i="21"/>
  <c r="G98" i="21"/>
  <c r="G27" i="21"/>
  <c r="D115" i="22"/>
  <c r="C115" i="22"/>
  <c r="D117" i="22"/>
  <c r="C117" i="22"/>
  <c r="D114" i="22"/>
  <c r="C114" i="22"/>
  <c r="D116" i="22"/>
  <c r="C116" i="22"/>
  <c r="D113" i="22"/>
  <c r="C113" i="22"/>
  <c r="D107" i="22"/>
  <c r="C107" i="22"/>
  <c r="D97" i="22"/>
  <c r="C97" i="22"/>
  <c r="D90" i="22"/>
  <c r="C90" i="22"/>
  <c r="D93" i="22"/>
  <c r="C93" i="22"/>
  <c r="D92" i="22"/>
  <c r="C92" i="22"/>
  <c r="D91" i="22"/>
  <c r="C91" i="22"/>
  <c r="D105" i="22"/>
  <c r="C105" i="22"/>
  <c r="D103" i="22"/>
  <c r="C103" i="22"/>
  <c r="D101" i="22"/>
  <c r="C101" i="22"/>
  <c r="D89" i="22"/>
  <c r="C89" i="22"/>
  <c r="D86" i="22"/>
  <c r="C86" i="22"/>
  <c r="D85" i="22"/>
  <c r="C85" i="22"/>
  <c r="D84" i="22"/>
  <c r="C84" i="22"/>
  <c r="D83" i="22"/>
  <c r="C83" i="22"/>
  <c r="D81" i="22"/>
  <c r="C81" i="22"/>
  <c r="D80" i="22"/>
  <c r="C80" i="22"/>
  <c r="D79" i="22"/>
  <c r="C79" i="22"/>
  <c r="D96" i="22"/>
  <c r="C96" i="22"/>
  <c r="D100" i="22"/>
  <c r="C100" i="22"/>
  <c r="D78" i="22"/>
  <c r="C78" i="22"/>
  <c r="D77" i="22"/>
  <c r="C77" i="22"/>
  <c r="D70" i="22"/>
  <c r="C70" i="22"/>
  <c r="D69" i="22"/>
  <c r="C69" i="22"/>
  <c r="D68" i="22"/>
  <c r="C68" i="22"/>
  <c r="D76" i="22"/>
  <c r="C76" i="22"/>
  <c r="D75" i="22"/>
  <c r="C75" i="22"/>
  <c r="D88" i="22"/>
  <c r="C88" i="22"/>
  <c r="D74" i="22"/>
  <c r="C74" i="22"/>
  <c r="D87" i="22"/>
  <c r="C87" i="22"/>
  <c r="D73" i="22"/>
  <c r="C73" i="22"/>
  <c r="D63" i="22"/>
  <c r="C63" i="22"/>
  <c r="D72" i="22"/>
  <c r="C72" i="22"/>
  <c r="D71" i="22"/>
  <c r="C71" i="22"/>
  <c r="D62" i="22"/>
  <c r="C62" i="22"/>
  <c r="D67" i="22"/>
  <c r="C67" i="22"/>
  <c r="D66" i="22"/>
  <c r="C66" i="22"/>
  <c r="D61" i="22"/>
  <c r="C61" i="22"/>
  <c r="D60" i="22"/>
  <c r="C60" i="22"/>
  <c r="D59" i="22"/>
  <c r="C59" i="22"/>
  <c r="D58" i="22"/>
  <c r="C58" i="22"/>
  <c r="D65" i="22"/>
  <c r="C65" i="22"/>
  <c r="D64" i="22"/>
  <c r="C64" i="22"/>
  <c r="D57" i="22"/>
  <c r="C57" i="22"/>
  <c r="D56" i="22"/>
  <c r="C56" i="22"/>
  <c r="D55" i="22"/>
  <c r="C55" i="22"/>
  <c r="D54" i="22"/>
  <c r="C54" i="22"/>
  <c r="D53" i="22"/>
  <c r="C53" i="22"/>
  <c r="D48" i="22"/>
  <c r="C48" i="22"/>
  <c r="D47" i="22"/>
  <c r="C47" i="22"/>
  <c r="D52" i="22"/>
  <c r="C52" i="22"/>
  <c r="D51" i="22"/>
  <c r="C51" i="22"/>
  <c r="D44" i="22"/>
  <c r="C44" i="22"/>
  <c r="D43" i="22"/>
  <c r="C43" i="22"/>
  <c r="D50" i="22"/>
  <c r="C50" i="22"/>
  <c r="D49" i="22"/>
  <c r="C49" i="22"/>
  <c r="D40" i="22"/>
  <c r="C40" i="22"/>
  <c r="D39" i="22"/>
  <c r="C39" i="22"/>
  <c r="D42" i="22"/>
  <c r="C42" i="22"/>
  <c r="D41" i="22"/>
  <c r="C41" i="22"/>
  <c r="D46" i="22"/>
  <c r="C46" i="22"/>
  <c r="D45" i="22"/>
  <c r="C45" i="22"/>
  <c r="D34" i="22"/>
  <c r="C34" i="22"/>
  <c r="D33" i="22"/>
  <c r="C33" i="22"/>
  <c r="D38" i="22"/>
  <c r="C38" i="22"/>
  <c r="D37" i="22"/>
  <c r="C37" i="22"/>
  <c r="D36" i="22"/>
  <c r="C36" i="22"/>
  <c r="D35" i="22"/>
  <c r="C35" i="22"/>
  <c r="D32" i="22"/>
  <c r="C32" i="22"/>
  <c r="D31" i="22"/>
  <c r="C31" i="22"/>
  <c r="D30" i="22"/>
  <c r="C30" i="22"/>
  <c r="D29" i="22"/>
  <c r="C29" i="22"/>
  <c r="D28" i="22"/>
  <c r="C28" i="22"/>
  <c r="D21" i="22"/>
  <c r="C21" i="22"/>
  <c r="D23" i="22"/>
  <c r="C23" i="22"/>
  <c r="D26" i="22"/>
  <c r="C26" i="22"/>
  <c r="D25" i="22"/>
  <c r="C25" i="22"/>
  <c r="D24" i="22"/>
  <c r="C24" i="22"/>
  <c r="D22" i="22"/>
  <c r="C22" i="22"/>
  <c r="D15" i="22"/>
  <c r="C15" i="22"/>
  <c r="D17" i="22"/>
  <c r="C17" i="22"/>
  <c r="D14" i="22"/>
  <c r="C14" i="22"/>
  <c r="D19" i="22"/>
  <c r="C19" i="22"/>
  <c r="D18" i="22"/>
  <c r="C18" i="22"/>
  <c r="D16" i="22"/>
  <c r="C16" i="22"/>
  <c r="D12" i="22"/>
  <c r="C12" i="22"/>
  <c r="D11" i="22"/>
  <c r="C11" i="22"/>
  <c r="D8" i="22"/>
  <c r="C8" i="22"/>
  <c r="D115" i="21"/>
  <c r="C115" i="21"/>
  <c r="D117" i="21"/>
  <c r="C117" i="21"/>
  <c r="D114" i="21"/>
  <c r="C114" i="21"/>
  <c r="D116" i="21"/>
  <c r="C116" i="21"/>
  <c r="D113" i="21"/>
  <c r="C113" i="21"/>
  <c r="D107" i="21"/>
  <c r="C107" i="21"/>
  <c r="D97" i="21"/>
  <c r="C97" i="21"/>
  <c r="D90" i="21"/>
  <c r="C90" i="21"/>
  <c r="D95" i="21"/>
  <c r="C95" i="21"/>
  <c r="D93" i="21"/>
  <c r="C93" i="21"/>
  <c r="D92" i="21"/>
  <c r="C92" i="21"/>
  <c r="D91" i="21"/>
  <c r="C91" i="21"/>
  <c r="D104" i="21"/>
  <c r="C104" i="21"/>
  <c r="D103" i="21"/>
  <c r="C103" i="21"/>
  <c r="D101" i="21"/>
  <c r="C101" i="21"/>
  <c r="D89" i="21"/>
  <c r="C89" i="21"/>
  <c r="D86" i="21"/>
  <c r="C86" i="21"/>
  <c r="D85" i="21"/>
  <c r="C85" i="21"/>
  <c r="D84" i="21"/>
  <c r="C84" i="21"/>
  <c r="D83" i="21"/>
  <c r="C83" i="21"/>
  <c r="D81" i="21"/>
  <c r="C81" i="21"/>
  <c r="D80" i="21"/>
  <c r="C80" i="21"/>
  <c r="D79" i="21"/>
  <c r="C79" i="21"/>
  <c r="D96" i="21"/>
  <c r="C96" i="21"/>
  <c r="D100" i="21"/>
  <c r="C100" i="21"/>
  <c r="D78" i="21"/>
  <c r="C78" i="21"/>
  <c r="D77" i="21"/>
  <c r="C77" i="21"/>
  <c r="D70" i="21"/>
  <c r="C70" i="21"/>
  <c r="D69" i="21"/>
  <c r="C69" i="21"/>
  <c r="D68" i="21"/>
  <c r="C68" i="21"/>
  <c r="D76" i="21"/>
  <c r="C76" i="21"/>
  <c r="D75" i="21"/>
  <c r="C75" i="21"/>
  <c r="D88" i="21"/>
  <c r="C88" i="21"/>
  <c r="D74" i="21"/>
  <c r="C74" i="21"/>
  <c r="D87" i="21"/>
  <c r="C87" i="21"/>
  <c r="D73" i="21"/>
  <c r="C73" i="21"/>
  <c r="D63" i="21"/>
  <c r="C63" i="21"/>
  <c r="D72" i="21"/>
  <c r="C72" i="21"/>
  <c r="D71" i="21"/>
  <c r="C71" i="21"/>
  <c r="D62" i="21"/>
  <c r="C62" i="21"/>
  <c r="D67" i="21"/>
  <c r="C67" i="21"/>
  <c r="D66" i="21"/>
  <c r="C66" i="21"/>
  <c r="D61" i="21"/>
  <c r="C61" i="21"/>
  <c r="D60" i="21"/>
  <c r="C60" i="21"/>
  <c r="D59" i="21"/>
  <c r="C59" i="21"/>
  <c r="D58" i="21"/>
  <c r="C58" i="21"/>
  <c r="D65" i="21"/>
  <c r="C65" i="21"/>
  <c r="D64" i="21"/>
  <c r="C64" i="21"/>
  <c r="D57" i="21"/>
  <c r="C57" i="21"/>
  <c r="D56" i="21"/>
  <c r="C56" i="21"/>
  <c r="D55" i="21"/>
  <c r="C55" i="21"/>
  <c r="D54" i="21"/>
  <c r="C54" i="21"/>
  <c r="D53" i="21"/>
  <c r="C53" i="21"/>
  <c r="D48" i="21"/>
  <c r="C48" i="21"/>
  <c r="D47" i="21"/>
  <c r="C47" i="21"/>
  <c r="D52" i="21"/>
  <c r="C52" i="21"/>
  <c r="D51" i="21"/>
  <c r="C51" i="21"/>
  <c r="D44" i="21"/>
  <c r="C44" i="21"/>
  <c r="D43" i="21"/>
  <c r="C43" i="21"/>
  <c r="D50" i="21"/>
  <c r="C50" i="21"/>
  <c r="D49" i="21"/>
  <c r="C49" i="21"/>
  <c r="D40" i="21"/>
  <c r="C40" i="21"/>
  <c r="D39" i="21"/>
  <c r="C39" i="21"/>
  <c r="D42" i="21"/>
  <c r="C42" i="21"/>
  <c r="D41" i="21"/>
  <c r="C41" i="21"/>
  <c r="D46" i="21"/>
  <c r="C46" i="21"/>
  <c r="D45" i="21"/>
  <c r="C45" i="21"/>
  <c r="D34" i="21"/>
  <c r="C34" i="21"/>
  <c r="D33" i="21"/>
  <c r="C33" i="21"/>
  <c r="D38" i="21"/>
  <c r="C38" i="21"/>
  <c r="D37" i="21"/>
  <c r="C37" i="21"/>
  <c r="D36" i="21"/>
  <c r="C36" i="21"/>
  <c r="D35" i="21"/>
  <c r="C35" i="21"/>
  <c r="D32" i="21"/>
  <c r="C32" i="21"/>
  <c r="D31" i="21"/>
  <c r="C31" i="21"/>
  <c r="D30" i="21"/>
  <c r="C30" i="21"/>
  <c r="D29" i="21"/>
  <c r="C29" i="21"/>
  <c r="D28" i="21"/>
  <c r="C28" i="21"/>
  <c r="D21" i="21"/>
  <c r="C21" i="21"/>
  <c r="D23" i="21"/>
  <c r="C23" i="21"/>
  <c r="D26" i="21"/>
  <c r="C26" i="21"/>
  <c r="D25" i="21"/>
  <c r="C25" i="21"/>
  <c r="D24" i="21"/>
  <c r="C24" i="21"/>
  <c r="D22" i="21"/>
  <c r="C22" i="21"/>
  <c r="D15" i="21"/>
  <c r="C15" i="21"/>
  <c r="D17" i="21"/>
  <c r="C17" i="21"/>
  <c r="D14" i="21"/>
  <c r="C14" i="21"/>
  <c r="D19" i="21"/>
  <c r="C19" i="21"/>
  <c r="D18" i="21"/>
  <c r="C18" i="21"/>
  <c r="D16" i="21"/>
  <c r="C16" i="21"/>
  <c r="D12" i="21"/>
  <c r="C12" i="21"/>
  <c r="D11" i="21"/>
  <c r="C11" i="21"/>
  <c r="D8" i="21"/>
  <c r="C8" i="21"/>
  <c r="C12" i="1"/>
  <c r="D12" i="1"/>
  <c r="E12" i="1"/>
  <c r="F12" i="1"/>
  <c r="C16" i="1"/>
  <c r="D16" i="1"/>
  <c r="E16" i="1"/>
  <c r="F16" i="1"/>
  <c r="C18" i="1"/>
  <c r="D18" i="1"/>
  <c r="E18" i="1"/>
  <c r="F18" i="1"/>
  <c r="C19" i="1"/>
  <c r="D19" i="1"/>
  <c r="E19" i="1"/>
  <c r="F19" i="1"/>
  <c r="C14" i="1"/>
  <c r="D14" i="1"/>
  <c r="E14" i="1"/>
  <c r="F14" i="1"/>
  <c r="C17" i="1"/>
  <c r="D17" i="1"/>
  <c r="E17" i="1"/>
  <c r="F17" i="1"/>
  <c r="C15" i="1"/>
  <c r="D15" i="1"/>
  <c r="E15" i="1"/>
  <c r="F15" i="1"/>
  <c r="C29" i="1"/>
  <c r="D29" i="1"/>
  <c r="E29" i="1"/>
  <c r="F29" i="1"/>
  <c r="C30" i="1"/>
  <c r="D30" i="1"/>
  <c r="E30" i="1"/>
  <c r="F30" i="1"/>
  <c r="C22" i="1"/>
  <c r="D22" i="1"/>
  <c r="E22" i="1"/>
  <c r="F22" i="1"/>
  <c r="C24" i="1"/>
  <c r="D24" i="1"/>
  <c r="E24" i="1"/>
  <c r="F24" i="1"/>
  <c r="C25" i="1"/>
  <c r="D25" i="1"/>
  <c r="E25" i="1"/>
  <c r="F25" i="1"/>
  <c r="C26" i="1"/>
  <c r="D26" i="1"/>
  <c r="E26" i="1"/>
  <c r="F26" i="1"/>
  <c r="C23" i="1"/>
  <c r="D23" i="1"/>
  <c r="E23" i="1"/>
  <c r="F23" i="1"/>
  <c r="C31" i="1"/>
  <c r="D31" i="1"/>
  <c r="E31" i="1"/>
  <c r="F31" i="1"/>
  <c r="C32" i="1"/>
  <c r="D32" i="1"/>
  <c r="E32" i="1"/>
  <c r="F32" i="1"/>
  <c r="C21" i="1"/>
  <c r="D21" i="1"/>
  <c r="E21" i="1"/>
  <c r="F21" i="1"/>
  <c r="C57" i="1"/>
  <c r="D57" i="1"/>
  <c r="E57" i="1"/>
  <c r="F57" i="1"/>
  <c r="C64" i="1"/>
  <c r="D64" i="1"/>
  <c r="E64" i="1"/>
  <c r="F64" i="1"/>
  <c r="C65" i="1"/>
  <c r="D65" i="1"/>
  <c r="E65" i="1"/>
  <c r="F65" i="1"/>
  <c r="C58" i="1"/>
  <c r="D58" i="1"/>
  <c r="E58" i="1"/>
  <c r="F58" i="1"/>
  <c r="C59" i="1"/>
  <c r="D59" i="1"/>
  <c r="E59" i="1"/>
  <c r="F59" i="1"/>
  <c r="C35" i="1"/>
  <c r="D35" i="1"/>
  <c r="E35" i="1"/>
  <c r="F35" i="1"/>
  <c r="C36" i="1"/>
  <c r="D36" i="1"/>
  <c r="E36" i="1"/>
  <c r="F36" i="1"/>
  <c r="C60" i="1"/>
  <c r="D60" i="1"/>
  <c r="E60" i="1"/>
  <c r="F60" i="1"/>
  <c r="C61" i="1"/>
  <c r="D61" i="1"/>
  <c r="E61" i="1"/>
  <c r="F61" i="1"/>
  <c r="C66" i="1"/>
  <c r="D66" i="1"/>
  <c r="E66" i="1"/>
  <c r="F66" i="1"/>
  <c r="C67" i="1"/>
  <c r="D67" i="1"/>
  <c r="E67" i="1"/>
  <c r="F67" i="1"/>
  <c r="C37" i="1"/>
  <c r="D37" i="1"/>
  <c r="E37" i="1"/>
  <c r="F37" i="1"/>
  <c r="C38" i="1"/>
  <c r="D38" i="1"/>
  <c r="E38" i="1"/>
  <c r="F38" i="1"/>
  <c r="C62" i="1"/>
  <c r="D62" i="1"/>
  <c r="E62" i="1"/>
  <c r="F62" i="1"/>
  <c r="C71" i="1"/>
  <c r="D71" i="1"/>
  <c r="E71" i="1"/>
  <c r="F71" i="1"/>
  <c r="C72" i="1"/>
  <c r="D72" i="1"/>
  <c r="E72" i="1"/>
  <c r="F72" i="1"/>
  <c r="C63" i="1"/>
  <c r="D63" i="1"/>
  <c r="E63" i="1"/>
  <c r="F63" i="1"/>
  <c r="C73" i="1"/>
  <c r="D73" i="1"/>
  <c r="E73" i="1"/>
  <c r="F73" i="1"/>
  <c r="C87" i="1"/>
  <c r="D87" i="1"/>
  <c r="E87" i="1"/>
  <c r="F87" i="1"/>
  <c r="C74" i="1"/>
  <c r="D74" i="1"/>
  <c r="E74" i="1"/>
  <c r="F74" i="1"/>
  <c r="C88" i="1"/>
  <c r="D88" i="1"/>
  <c r="E88" i="1"/>
  <c r="F88" i="1"/>
  <c r="C33" i="1"/>
  <c r="D33" i="1"/>
  <c r="E33" i="1"/>
  <c r="F33" i="1"/>
  <c r="C34" i="1"/>
  <c r="D34" i="1"/>
  <c r="E34" i="1"/>
  <c r="F34" i="1"/>
  <c r="C45" i="1"/>
  <c r="D45" i="1"/>
  <c r="E45" i="1"/>
  <c r="F45" i="1"/>
  <c r="C75" i="1"/>
  <c r="D75" i="1"/>
  <c r="E75" i="1"/>
  <c r="F75" i="1"/>
  <c r="C46" i="1"/>
  <c r="D46" i="1"/>
  <c r="E46" i="1"/>
  <c r="F46" i="1"/>
  <c r="C76" i="1"/>
  <c r="D76" i="1"/>
  <c r="E76" i="1"/>
  <c r="F76" i="1"/>
  <c r="C68" i="1"/>
  <c r="D68" i="1"/>
  <c r="E68" i="1"/>
  <c r="F68" i="1"/>
  <c r="C69" i="1"/>
  <c r="D69" i="1"/>
  <c r="E69" i="1"/>
  <c r="F69" i="1"/>
  <c r="C70" i="1"/>
  <c r="D70" i="1"/>
  <c r="E70" i="1"/>
  <c r="F70" i="1"/>
  <c r="C77" i="1"/>
  <c r="D77" i="1"/>
  <c r="E77" i="1"/>
  <c r="F77" i="1"/>
  <c r="C78" i="1"/>
  <c r="D78" i="1"/>
  <c r="E78" i="1"/>
  <c r="F78" i="1"/>
  <c r="C41" i="1"/>
  <c r="D41" i="1"/>
  <c r="E41" i="1"/>
  <c r="F41" i="1"/>
  <c r="C42" i="1"/>
  <c r="D42" i="1"/>
  <c r="E42" i="1"/>
  <c r="F42" i="1"/>
  <c r="C100" i="1"/>
  <c r="D100" i="1"/>
  <c r="E100" i="1"/>
  <c r="F100" i="1"/>
  <c r="C96" i="1"/>
  <c r="D96" i="1"/>
  <c r="E96" i="1"/>
  <c r="F96" i="1"/>
  <c r="C39" i="1"/>
  <c r="D39" i="1"/>
  <c r="E39" i="1"/>
  <c r="F39" i="1"/>
  <c r="C40" i="1"/>
  <c r="D40" i="1"/>
  <c r="E40" i="1"/>
  <c r="F40" i="1"/>
  <c r="C79" i="1"/>
  <c r="D79" i="1"/>
  <c r="E79" i="1"/>
  <c r="F79" i="1"/>
  <c r="C80" i="1"/>
  <c r="D80" i="1"/>
  <c r="E80" i="1"/>
  <c r="F80" i="1"/>
  <c r="C81" i="1"/>
  <c r="D81" i="1"/>
  <c r="E81" i="1"/>
  <c r="F81" i="1"/>
  <c r="C83" i="1"/>
  <c r="D83" i="1"/>
  <c r="E83" i="1"/>
  <c r="F83" i="1"/>
  <c r="C84" i="1"/>
  <c r="D84" i="1"/>
  <c r="E84" i="1"/>
  <c r="F84" i="1"/>
  <c r="C85" i="1"/>
  <c r="D85" i="1"/>
  <c r="E85" i="1"/>
  <c r="F85" i="1"/>
  <c r="C86" i="1"/>
  <c r="D86" i="1"/>
  <c r="E86" i="1"/>
  <c r="F86" i="1"/>
  <c r="C89" i="1"/>
  <c r="D89" i="1"/>
  <c r="E89" i="1"/>
  <c r="F89" i="1"/>
  <c r="C101" i="1"/>
  <c r="D101" i="1"/>
  <c r="E101" i="1"/>
  <c r="F101" i="1"/>
  <c r="C103" i="1"/>
  <c r="D103" i="1"/>
  <c r="E103" i="1"/>
  <c r="F103" i="1"/>
  <c r="C105" i="1"/>
  <c r="D105" i="1"/>
  <c r="E105" i="1"/>
  <c r="F105" i="1"/>
  <c r="C91" i="1"/>
  <c r="D91" i="1"/>
  <c r="E91" i="1"/>
  <c r="F91" i="1"/>
  <c r="C92" i="1"/>
  <c r="D92" i="1"/>
  <c r="E92" i="1"/>
  <c r="F92" i="1"/>
  <c r="C93" i="1"/>
  <c r="D93" i="1"/>
  <c r="E93" i="1"/>
  <c r="F93" i="1"/>
  <c r="C95" i="1"/>
  <c r="D95" i="1"/>
  <c r="E95" i="1"/>
  <c r="E95" i="22" s="1"/>
  <c r="F95" i="1"/>
  <c r="C49" i="1"/>
  <c r="D49" i="1"/>
  <c r="E49" i="1"/>
  <c r="F49" i="1"/>
  <c r="C50" i="1"/>
  <c r="D50" i="1"/>
  <c r="E50" i="1"/>
  <c r="F50" i="1"/>
  <c r="C43" i="1"/>
  <c r="D43" i="1"/>
  <c r="E43" i="1"/>
  <c r="F43" i="1"/>
  <c r="C44" i="1"/>
  <c r="D44" i="1"/>
  <c r="E44" i="1"/>
  <c r="F44" i="1"/>
  <c r="C51" i="1"/>
  <c r="D51" i="1"/>
  <c r="E51" i="1"/>
  <c r="F51" i="1"/>
  <c r="C52" i="1"/>
  <c r="D52" i="1"/>
  <c r="E52" i="1"/>
  <c r="F52" i="1"/>
  <c r="C90" i="1"/>
  <c r="D90" i="1"/>
  <c r="E90" i="1"/>
  <c r="F90" i="1"/>
  <c r="C47" i="1"/>
  <c r="D47" i="1"/>
  <c r="E47" i="1"/>
  <c r="F47" i="1"/>
  <c r="C48" i="1"/>
  <c r="D48" i="1"/>
  <c r="E48" i="1"/>
  <c r="F48" i="1"/>
  <c r="C97" i="1"/>
  <c r="D97" i="1"/>
  <c r="E97" i="1"/>
  <c r="F97" i="1"/>
  <c r="C28" i="1"/>
  <c r="D28" i="1"/>
  <c r="E28" i="1"/>
  <c r="F28" i="1"/>
  <c r="C107" i="1"/>
  <c r="D107" i="1"/>
  <c r="E107" i="1"/>
  <c r="F107" i="1"/>
  <c r="C53" i="1"/>
  <c r="D53" i="1"/>
  <c r="E53" i="1"/>
  <c r="F53" i="1"/>
  <c r="C54" i="1"/>
  <c r="D54" i="1"/>
  <c r="E54" i="1"/>
  <c r="F54" i="1"/>
  <c r="C55" i="1"/>
  <c r="D55" i="1"/>
  <c r="E55" i="1"/>
  <c r="F55" i="1"/>
  <c r="C56" i="1"/>
  <c r="D56" i="1"/>
  <c r="E56" i="1"/>
  <c r="F56" i="1"/>
  <c r="C113" i="1"/>
  <c r="D113" i="1"/>
  <c r="E113" i="1"/>
  <c r="F113" i="1"/>
  <c r="C116" i="1"/>
  <c r="D116" i="1"/>
  <c r="E116" i="1"/>
  <c r="F116" i="1"/>
  <c r="C114" i="1"/>
  <c r="D114" i="1"/>
  <c r="E114" i="1"/>
  <c r="F114" i="1"/>
  <c r="C117" i="1"/>
  <c r="D117" i="1"/>
  <c r="E117" i="1"/>
  <c r="F117" i="1"/>
  <c r="C115" i="1"/>
  <c r="D115" i="1"/>
  <c r="E115" i="1"/>
  <c r="F115" i="1"/>
  <c r="C11" i="1"/>
  <c r="G117" i="1" l="1"/>
  <c r="G117" i="21" s="1"/>
  <c r="H117" i="1"/>
  <c r="H56" i="1"/>
  <c r="G56" i="1"/>
  <c r="G56" i="21" s="1"/>
  <c r="H97" i="1"/>
  <c r="G97" i="1"/>
  <c r="G97" i="21" s="1"/>
  <c r="G52" i="1"/>
  <c r="G52" i="21" s="1"/>
  <c r="H52" i="1"/>
  <c r="G95" i="1"/>
  <c r="G95" i="21" s="1"/>
  <c r="H95" i="1"/>
  <c r="G105" i="1"/>
  <c r="H105" i="1"/>
  <c r="H86" i="1"/>
  <c r="G86" i="1"/>
  <c r="G86" i="21" s="1"/>
  <c r="H81" i="1"/>
  <c r="G81" i="1"/>
  <c r="G81" i="21" s="1"/>
  <c r="H100" i="1"/>
  <c r="G100" i="1"/>
  <c r="H77" i="1"/>
  <c r="G77" i="1"/>
  <c r="G77" i="21" s="1"/>
  <c r="G76" i="1"/>
  <c r="G76" i="21" s="1"/>
  <c r="H76" i="1"/>
  <c r="G34" i="1"/>
  <c r="G34" i="21" s="1"/>
  <c r="H34" i="1"/>
  <c r="G87" i="1"/>
  <c r="G87" i="21" s="1"/>
  <c r="H87" i="1"/>
  <c r="G71" i="1"/>
  <c r="G71" i="21" s="1"/>
  <c r="H71" i="1"/>
  <c r="G67" i="1"/>
  <c r="G67" i="21" s="1"/>
  <c r="H67" i="1"/>
  <c r="G61" i="1"/>
  <c r="G61" i="21" s="1"/>
  <c r="H61" i="1"/>
  <c r="G59" i="1"/>
  <c r="G59" i="21" s="1"/>
  <c r="H59" i="1"/>
  <c r="G57" i="1"/>
  <c r="G57" i="21" s="1"/>
  <c r="H57" i="1"/>
  <c r="G25" i="1"/>
  <c r="G25" i="21" s="1"/>
  <c r="H25" i="1"/>
  <c r="H29" i="1"/>
  <c r="G29" i="1"/>
  <c r="G29" i="21" s="1"/>
  <c r="G17" i="1"/>
  <c r="G17" i="21" s="1"/>
  <c r="H17" i="1"/>
  <c r="H16" i="1"/>
  <c r="G16" i="1"/>
  <c r="G16" i="21" s="1"/>
  <c r="G116" i="1"/>
  <c r="G116" i="21" s="1"/>
  <c r="H116" i="1"/>
  <c r="G54" i="1"/>
  <c r="G54" i="21" s="1"/>
  <c r="H54" i="1"/>
  <c r="H50" i="1"/>
  <c r="G50" i="1"/>
  <c r="G50" i="21" s="1"/>
  <c r="G115" i="1"/>
  <c r="H115" i="1"/>
  <c r="H115" i="21" s="1"/>
  <c r="G114" i="1"/>
  <c r="G114" i="21" s="1"/>
  <c r="H114" i="1"/>
  <c r="G113" i="1"/>
  <c r="G113" i="21" s="1"/>
  <c r="H113" i="1"/>
  <c r="G55" i="1"/>
  <c r="G55" i="21" s="1"/>
  <c r="H55" i="1"/>
  <c r="G53" i="1"/>
  <c r="G53" i="21" s="1"/>
  <c r="H53" i="1"/>
  <c r="H28" i="1"/>
  <c r="G28" i="1"/>
  <c r="G28" i="21" s="1"/>
  <c r="G48" i="1"/>
  <c r="G48" i="21" s="1"/>
  <c r="H48" i="1"/>
  <c r="H90" i="1"/>
  <c r="G90" i="1"/>
  <c r="G90" i="21" s="1"/>
  <c r="G51" i="1"/>
  <c r="G51" i="21" s="1"/>
  <c r="H51" i="1"/>
  <c r="H43" i="1"/>
  <c r="G43" i="1"/>
  <c r="G43" i="21" s="1"/>
  <c r="H49" i="1"/>
  <c r="G49" i="1"/>
  <c r="G49" i="21" s="1"/>
  <c r="G93" i="1"/>
  <c r="G93" i="21" s="1"/>
  <c r="H93" i="1"/>
  <c r="G91" i="1"/>
  <c r="G91" i="21" s="1"/>
  <c r="H91" i="1"/>
  <c r="G103" i="1"/>
  <c r="G103" i="21" s="1"/>
  <c r="H103" i="1"/>
  <c r="G89" i="1"/>
  <c r="G89" i="21" s="1"/>
  <c r="H89" i="1"/>
  <c r="G85" i="1"/>
  <c r="G85" i="21" s="1"/>
  <c r="H85" i="1"/>
  <c r="G83" i="1"/>
  <c r="G83" i="21" s="1"/>
  <c r="H83" i="1"/>
  <c r="G80" i="1"/>
  <c r="G80" i="21" s="1"/>
  <c r="H80" i="1"/>
  <c r="G40" i="1"/>
  <c r="G40" i="21" s="1"/>
  <c r="H40" i="1"/>
  <c r="G96" i="1"/>
  <c r="G96" i="21" s="1"/>
  <c r="H96" i="1"/>
  <c r="G42" i="1"/>
  <c r="G42" i="21" s="1"/>
  <c r="H42" i="1"/>
  <c r="G78" i="1"/>
  <c r="G78" i="21" s="1"/>
  <c r="H78" i="1"/>
  <c r="G70" i="1"/>
  <c r="G70" i="21" s="1"/>
  <c r="H70" i="1"/>
  <c r="G68" i="1"/>
  <c r="H68" i="1"/>
  <c r="G46" i="1"/>
  <c r="G46" i="21" s="1"/>
  <c r="H46" i="1"/>
  <c r="H45" i="1"/>
  <c r="G45" i="1"/>
  <c r="G45" i="21" s="1"/>
  <c r="G33" i="1"/>
  <c r="G33" i="21" s="1"/>
  <c r="H33" i="1"/>
  <c r="G74" i="1"/>
  <c r="G74" i="21" s="1"/>
  <c r="H74" i="1"/>
  <c r="H73" i="1"/>
  <c r="G73" i="1"/>
  <c r="G73" i="21" s="1"/>
  <c r="G72" i="1"/>
  <c r="G72" i="21" s="1"/>
  <c r="H72" i="1"/>
  <c r="G62" i="1"/>
  <c r="G62" i="21" s="1"/>
  <c r="H62" i="1"/>
  <c r="H37" i="1"/>
  <c r="G37" i="1"/>
  <c r="G37" i="21" s="1"/>
  <c r="G66" i="1"/>
  <c r="G66" i="21" s="1"/>
  <c r="H66" i="1"/>
  <c r="G60" i="1"/>
  <c r="G60" i="21" s="1"/>
  <c r="H60" i="1"/>
  <c r="G35" i="1"/>
  <c r="G35" i="21" s="1"/>
  <c r="H35" i="1"/>
  <c r="H58" i="1"/>
  <c r="G58" i="1"/>
  <c r="G58" i="21" s="1"/>
  <c r="H64" i="1"/>
  <c r="G64" i="1"/>
  <c r="G64" i="21" s="1"/>
  <c r="H21" i="1"/>
  <c r="G21" i="1"/>
  <c r="G21" i="21" s="1"/>
  <c r="G31" i="1"/>
  <c r="G31" i="21" s="1"/>
  <c r="H31" i="1"/>
  <c r="G26" i="1"/>
  <c r="G26" i="21" s="1"/>
  <c r="H26" i="1"/>
  <c r="H24" i="1"/>
  <c r="G24" i="1"/>
  <c r="G24" i="21" s="1"/>
  <c r="G30" i="1"/>
  <c r="G30" i="21" s="1"/>
  <c r="H30" i="1"/>
  <c r="G15" i="1"/>
  <c r="G15" i="21" s="1"/>
  <c r="H15" i="1"/>
  <c r="G14" i="1"/>
  <c r="G14" i="21" s="1"/>
  <c r="H14" i="1"/>
  <c r="G18" i="1"/>
  <c r="G18" i="21" s="1"/>
  <c r="H18" i="1"/>
  <c r="H12" i="1"/>
  <c r="G12" i="1"/>
  <c r="G12" i="21" s="1"/>
  <c r="H107" i="1"/>
  <c r="G107" i="1"/>
  <c r="G107" i="21" s="1"/>
  <c r="G47" i="1"/>
  <c r="G47" i="21" s="1"/>
  <c r="H47" i="1"/>
  <c r="G44" i="1"/>
  <c r="G44" i="21" s="1"/>
  <c r="H44" i="1"/>
  <c r="G92" i="1"/>
  <c r="G92" i="21" s="1"/>
  <c r="H92" i="1"/>
  <c r="G101" i="1"/>
  <c r="G101" i="21" s="1"/>
  <c r="H101" i="1"/>
  <c r="G84" i="1"/>
  <c r="G84" i="21" s="1"/>
  <c r="H84" i="1"/>
  <c r="G79" i="1"/>
  <c r="G79" i="21" s="1"/>
  <c r="H79" i="1"/>
  <c r="G39" i="1"/>
  <c r="G39" i="21" s="1"/>
  <c r="H39" i="1"/>
  <c r="G41" i="1"/>
  <c r="G41" i="21" s="1"/>
  <c r="H41" i="1"/>
  <c r="G69" i="1"/>
  <c r="G69" i="21" s="1"/>
  <c r="H69" i="1"/>
  <c r="G75" i="1"/>
  <c r="G75" i="21" s="1"/>
  <c r="H75" i="1"/>
  <c r="H88" i="1"/>
  <c r="G88" i="1"/>
  <c r="G88" i="21" s="1"/>
  <c r="H63" i="1"/>
  <c r="G63" i="1"/>
  <c r="G63" i="21" s="1"/>
  <c r="H38" i="1"/>
  <c r="G38" i="1"/>
  <c r="G38" i="21" s="1"/>
  <c r="G36" i="1"/>
  <c r="G36" i="21" s="1"/>
  <c r="H36" i="1"/>
  <c r="G65" i="1"/>
  <c r="G65" i="21" s="1"/>
  <c r="H65" i="1"/>
  <c r="H32" i="1"/>
  <c r="G32" i="1"/>
  <c r="G32" i="21" s="1"/>
  <c r="G23" i="1"/>
  <c r="G23" i="21" s="1"/>
  <c r="H23" i="1"/>
  <c r="G22" i="1"/>
  <c r="G22" i="21" s="1"/>
  <c r="H22" i="1"/>
  <c r="G19" i="1"/>
  <c r="G19" i="21" s="1"/>
  <c r="H19" i="1"/>
  <c r="I117" i="1"/>
  <c r="I56" i="1"/>
  <c r="I97" i="1"/>
  <c r="I44" i="1"/>
  <c r="I92" i="1"/>
  <c r="I86" i="1"/>
  <c r="I79" i="1"/>
  <c r="I41" i="1"/>
  <c r="I69" i="1"/>
  <c r="I88" i="1"/>
  <c r="I38" i="1"/>
  <c r="I36" i="1"/>
  <c r="I57" i="1"/>
  <c r="I23" i="1"/>
  <c r="I17" i="1"/>
  <c r="I107" i="1"/>
  <c r="I52" i="1"/>
  <c r="I50" i="1"/>
  <c r="I105" i="1"/>
  <c r="G104" i="21"/>
  <c r="I84" i="1"/>
  <c r="I39" i="1"/>
  <c r="I77" i="1"/>
  <c r="I75" i="1"/>
  <c r="I34" i="1"/>
  <c r="I63" i="1"/>
  <c r="I67" i="1"/>
  <c r="I59" i="1"/>
  <c r="I32" i="1"/>
  <c r="I22" i="1"/>
  <c r="I29" i="1"/>
  <c r="I16" i="1"/>
  <c r="I114" i="1"/>
  <c r="I53" i="1"/>
  <c r="I48" i="1"/>
  <c r="I51" i="1"/>
  <c r="I93" i="1"/>
  <c r="I103" i="1"/>
  <c r="I85" i="1"/>
  <c r="I83" i="1"/>
  <c r="I80" i="1"/>
  <c r="I40" i="1"/>
  <c r="I96" i="1"/>
  <c r="I42" i="1"/>
  <c r="I78" i="1"/>
  <c r="I70" i="1"/>
  <c r="I68" i="1"/>
  <c r="G68" i="21"/>
  <c r="I46" i="1"/>
  <c r="I45" i="1"/>
  <c r="I33" i="1"/>
  <c r="I74" i="1"/>
  <c r="I73" i="1"/>
  <c r="I72" i="1"/>
  <c r="I62" i="1"/>
  <c r="I37" i="1"/>
  <c r="I66" i="1"/>
  <c r="I60" i="1"/>
  <c r="I35" i="1"/>
  <c r="I58" i="1"/>
  <c r="I64" i="1"/>
  <c r="I21" i="1"/>
  <c r="I31" i="1"/>
  <c r="I26" i="1"/>
  <c r="I24" i="1"/>
  <c r="I30" i="1"/>
  <c r="I15" i="1"/>
  <c r="I14" i="1"/>
  <c r="I18" i="1"/>
  <c r="I12" i="1"/>
  <c r="I116" i="1"/>
  <c r="I54" i="1"/>
  <c r="I47" i="1"/>
  <c r="F95" i="22"/>
  <c r="G95" i="22" s="1"/>
  <c r="I95" i="1"/>
  <c r="I101" i="1"/>
  <c r="I81" i="1"/>
  <c r="I100" i="1"/>
  <c r="G100" i="21"/>
  <c r="I76" i="1"/>
  <c r="I87" i="1"/>
  <c r="I71" i="1"/>
  <c r="I61" i="1"/>
  <c r="I65" i="1"/>
  <c r="I25" i="1"/>
  <c r="I19" i="1"/>
  <c r="G115" i="21"/>
  <c r="I115" i="1"/>
  <c r="I113" i="1"/>
  <c r="I55" i="1"/>
  <c r="I28" i="1"/>
  <c r="I90" i="1"/>
  <c r="I43" i="1"/>
  <c r="I49" i="1"/>
  <c r="I91" i="1"/>
  <c r="I89" i="1"/>
  <c r="J113" i="1"/>
  <c r="F113" i="22"/>
  <c r="G113" i="22" s="1"/>
  <c r="J90" i="1"/>
  <c r="F90" i="22"/>
  <c r="G90" i="22" s="1"/>
  <c r="J86" i="1"/>
  <c r="F86" i="22"/>
  <c r="G86" i="22" s="1"/>
  <c r="J100" i="1"/>
  <c r="F100" i="22"/>
  <c r="G100" i="22" s="1"/>
  <c r="J69" i="1"/>
  <c r="F69" i="22"/>
  <c r="G69" i="22" s="1"/>
  <c r="J34" i="1"/>
  <c r="F34" i="22"/>
  <c r="G34" i="22" s="1"/>
  <c r="J38" i="1"/>
  <c r="F38" i="22"/>
  <c r="G38" i="22" s="1"/>
  <c r="J65" i="1"/>
  <c r="F65" i="22"/>
  <c r="G65" i="22" s="1"/>
  <c r="J29" i="1"/>
  <c r="F29" i="22"/>
  <c r="G29" i="22" s="1"/>
  <c r="E115" i="21"/>
  <c r="E115" i="22"/>
  <c r="E55" i="21"/>
  <c r="E55" i="22"/>
  <c r="E48" i="21"/>
  <c r="E48" i="22"/>
  <c r="E86" i="21"/>
  <c r="E86" i="22"/>
  <c r="E79" i="21"/>
  <c r="E79" i="22"/>
  <c r="E77" i="21"/>
  <c r="E77" i="22"/>
  <c r="E87" i="21"/>
  <c r="E87" i="22"/>
  <c r="E67" i="21"/>
  <c r="E67" i="22"/>
  <c r="E65" i="21"/>
  <c r="E65" i="22"/>
  <c r="E32" i="21"/>
  <c r="E32" i="22"/>
  <c r="E23" i="21"/>
  <c r="E23" i="22"/>
  <c r="E25" i="21"/>
  <c r="E25" i="22"/>
  <c r="E19" i="21"/>
  <c r="E19" i="22"/>
  <c r="E16" i="21"/>
  <c r="E16" i="22"/>
  <c r="J117" i="1"/>
  <c r="F117" i="22"/>
  <c r="G117" i="22" s="1"/>
  <c r="J107" i="1"/>
  <c r="F107" i="22"/>
  <c r="G107" i="22" s="1"/>
  <c r="J44" i="1"/>
  <c r="F44" i="22"/>
  <c r="G44" i="22" s="1"/>
  <c r="J91" i="1"/>
  <c r="F91" i="22"/>
  <c r="G91" i="22" s="1"/>
  <c r="J85" i="1"/>
  <c r="F85" i="22"/>
  <c r="G85" i="22" s="1"/>
  <c r="J96" i="1"/>
  <c r="F96" i="22"/>
  <c r="G96" i="22" s="1"/>
  <c r="J42" i="1"/>
  <c r="F42" i="22"/>
  <c r="G42" i="22" s="1"/>
  <c r="J78" i="1"/>
  <c r="F78" i="22"/>
  <c r="G78" i="22" s="1"/>
  <c r="J70" i="1"/>
  <c r="F70" i="22"/>
  <c r="G70" i="22" s="1"/>
  <c r="J68" i="1"/>
  <c r="F68" i="22"/>
  <c r="G68" i="22" s="1"/>
  <c r="J46" i="1"/>
  <c r="F46" i="22"/>
  <c r="G46" i="22" s="1"/>
  <c r="J45" i="1"/>
  <c r="F45" i="22"/>
  <c r="G45" i="22" s="1"/>
  <c r="J33" i="1"/>
  <c r="F33" i="22"/>
  <c r="G33" i="22" s="1"/>
  <c r="J74" i="1"/>
  <c r="F74" i="22"/>
  <c r="G74" i="22" s="1"/>
  <c r="J73" i="1"/>
  <c r="F73" i="22"/>
  <c r="G73" i="22" s="1"/>
  <c r="J72" i="1"/>
  <c r="F72" i="22"/>
  <c r="G72" i="22" s="1"/>
  <c r="J62" i="1"/>
  <c r="F62" i="22"/>
  <c r="G62" i="22" s="1"/>
  <c r="J37" i="1"/>
  <c r="F37" i="22"/>
  <c r="G37" i="22" s="1"/>
  <c r="J66" i="1"/>
  <c r="F66" i="22"/>
  <c r="G66" i="22" s="1"/>
  <c r="J60" i="1"/>
  <c r="F60" i="22"/>
  <c r="G60" i="22" s="1"/>
  <c r="J35" i="1"/>
  <c r="F35" i="22"/>
  <c r="G35" i="22" s="1"/>
  <c r="J58" i="1"/>
  <c r="F58" i="22"/>
  <c r="G58" i="22" s="1"/>
  <c r="J64" i="1"/>
  <c r="F64" i="22"/>
  <c r="G64" i="22" s="1"/>
  <c r="J21" i="1"/>
  <c r="F21" i="22"/>
  <c r="G21" i="22" s="1"/>
  <c r="J31" i="1"/>
  <c r="F31" i="22"/>
  <c r="G31" i="22" s="1"/>
  <c r="J26" i="1"/>
  <c r="F26" i="22"/>
  <c r="G26" i="22" s="1"/>
  <c r="J24" i="1"/>
  <c r="F24" i="22"/>
  <c r="G24" i="22" s="1"/>
  <c r="J30" i="1"/>
  <c r="F30" i="22"/>
  <c r="G30" i="22" s="1"/>
  <c r="J15" i="1"/>
  <c r="F15" i="22"/>
  <c r="G15" i="22" s="1"/>
  <c r="J14" i="1"/>
  <c r="F14" i="22"/>
  <c r="G14" i="22" s="1"/>
  <c r="J18" i="1"/>
  <c r="F18" i="22"/>
  <c r="G18" i="22" s="1"/>
  <c r="J12" i="1"/>
  <c r="F12" i="22"/>
  <c r="G12" i="22" s="1"/>
  <c r="J28" i="1"/>
  <c r="F28" i="22"/>
  <c r="G28" i="22" s="1"/>
  <c r="J43" i="1"/>
  <c r="F43" i="22"/>
  <c r="G43" i="22" s="1"/>
  <c r="J105" i="1"/>
  <c r="F105" i="22"/>
  <c r="G105" i="22" s="1"/>
  <c r="J81" i="1"/>
  <c r="F81" i="22"/>
  <c r="G81" i="22" s="1"/>
  <c r="J41" i="1"/>
  <c r="F41" i="22"/>
  <c r="G41" i="22" s="1"/>
  <c r="J75" i="1"/>
  <c r="F75" i="22"/>
  <c r="G75" i="22" s="1"/>
  <c r="J63" i="1"/>
  <c r="F63" i="22"/>
  <c r="G63" i="22" s="1"/>
  <c r="J61" i="1"/>
  <c r="F61" i="22"/>
  <c r="G61" i="22" s="1"/>
  <c r="J57" i="1"/>
  <c r="F57" i="22"/>
  <c r="G57" i="22" s="1"/>
  <c r="J19" i="1"/>
  <c r="F19" i="22"/>
  <c r="G19" i="22" s="1"/>
  <c r="E114" i="21"/>
  <c r="E114" i="22"/>
  <c r="E53" i="21"/>
  <c r="E53" i="22"/>
  <c r="E51" i="21"/>
  <c r="E51" i="22"/>
  <c r="E92" i="21"/>
  <c r="E92" i="22"/>
  <c r="E84" i="21"/>
  <c r="E84" i="22"/>
  <c r="E39" i="21"/>
  <c r="E39" i="22"/>
  <c r="E76" i="21"/>
  <c r="E76" i="22"/>
  <c r="E34" i="21"/>
  <c r="E34" i="22"/>
  <c r="E63" i="21"/>
  <c r="E63" i="22"/>
  <c r="E36" i="21"/>
  <c r="E36" i="22"/>
  <c r="E22" i="21"/>
  <c r="E22" i="22"/>
  <c r="J56" i="1"/>
  <c r="F56" i="22"/>
  <c r="G56" i="22" s="1"/>
  <c r="J47" i="1"/>
  <c r="F47" i="22"/>
  <c r="G47" i="22" s="1"/>
  <c r="J95" i="1"/>
  <c r="J83" i="1"/>
  <c r="F83" i="22"/>
  <c r="G83" i="22" s="1"/>
  <c r="E117" i="21"/>
  <c r="E117" i="22"/>
  <c r="E56" i="21"/>
  <c r="E56" i="22"/>
  <c r="E97" i="21"/>
  <c r="E97" i="22"/>
  <c r="E44" i="21"/>
  <c r="E44" i="22"/>
  <c r="E95" i="21"/>
  <c r="E93" i="21"/>
  <c r="E93" i="22"/>
  <c r="E91" i="21"/>
  <c r="E91" i="22"/>
  <c r="E103" i="21"/>
  <c r="E103" i="22"/>
  <c r="E89" i="21"/>
  <c r="E89" i="22"/>
  <c r="E85" i="21"/>
  <c r="E85" i="22"/>
  <c r="E83" i="21"/>
  <c r="E83" i="22"/>
  <c r="E80" i="21"/>
  <c r="E80" i="22"/>
  <c r="E40" i="21"/>
  <c r="E40" i="22"/>
  <c r="E96" i="21"/>
  <c r="E96" i="22"/>
  <c r="E42" i="21"/>
  <c r="E42" i="22"/>
  <c r="E78" i="21"/>
  <c r="E78" i="22"/>
  <c r="E70" i="21"/>
  <c r="E70" i="22"/>
  <c r="E68" i="21"/>
  <c r="E68" i="22"/>
  <c r="E46" i="21"/>
  <c r="E46" i="22"/>
  <c r="E45" i="21"/>
  <c r="E45" i="22"/>
  <c r="E33" i="21"/>
  <c r="E33" i="22"/>
  <c r="E74" i="21"/>
  <c r="E74" i="22"/>
  <c r="E73" i="21"/>
  <c r="E73" i="22"/>
  <c r="E72" i="21"/>
  <c r="E72" i="22"/>
  <c r="E62" i="21"/>
  <c r="E62" i="22"/>
  <c r="E37" i="21"/>
  <c r="E37" i="22"/>
  <c r="E66" i="21"/>
  <c r="E66" i="22"/>
  <c r="E60" i="21"/>
  <c r="E60" i="22"/>
  <c r="E35" i="21"/>
  <c r="E35" i="22"/>
  <c r="E58" i="21"/>
  <c r="E58" i="22"/>
  <c r="E64" i="21"/>
  <c r="E64" i="22"/>
  <c r="E21" i="21"/>
  <c r="E21" i="22"/>
  <c r="E31" i="21"/>
  <c r="E31" i="22"/>
  <c r="E26" i="21"/>
  <c r="E26" i="22"/>
  <c r="E24" i="21"/>
  <c r="E24" i="22"/>
  <c r="E30" i="21"/>
  <c r="E30" i="22"/>
  <c r="E15" i="21"/>
  <c r="E15" i="22"/>
  <c r="E14" i="21"/>
  <c r="E14" i="22"/>
  <c r="E18" i="21"/>
  <c r="E18" i="22"/>
  <c r="E12" i="21"/>
  <c r="E12" i="22"/>
  <c r="J114" i="1"/>
  <c r="F114" i="22"/>
  <c r="G114" i="22" s="1"/>
  <c r="J53" i="1"/>
  <c r="F53" i="22"/>
  <c r="G53" i="22" s="1"/>
  <c r="J51" i="1"/>
  <c r="F51" i="22"/>
  <c r="G51" i="22" s="1"/>
  <c r="J92" i="1"/>
  <c r="F92" i="22"/>
  <c r="G92" i="22" s="1"/>
  <c r="J84" i="1"/>
  <c r="F84" i="22"/>
  <c r="G84" i="22" s="1"/>
  <c r="J39" i="1"/>
  <c r="F39" i="22"/>
  <c r="G39" i="22" s="1"/>
  <c r="J76" i="1"/>
  <c r="F76" i="22"/>
  <c r="G76" i="22" s="1"/>
  <c r="J87" i="1"/>
  <c r="F87" i="22"/>
  <c r="G87" i="22" s="1"/>
  <c r="J67" i="1"/>
  <c r="F67" i="22"/>
  <c r="G67" i="22" s="1"/>
  <c r="J59" i="1"/>
  <c r="F59" i="22"/>
  <c r="G59" i="22" s="1"/>
  <c r="J22" i="1"/>
  <c r="F22" i="22"/>
  <c r="G22" i="22" s="1"/>
  <c r="E113" i="21"/>
  <c r="E113" i="22"/>
  <c r="E28" i="21"/>
  <c r="E28" i="22"/>
  <c r="E43" i="21"/>
  <c r="E43" i="22"/>
  <c r="E101" i="21"/>
  <c r="E101" i="22"/>
  <c r="E100" i="21"/>
  <c r="E100" i="22"/>
  <c r="E69" i="21"/>
  <c r="E69" i="22"/>
  <c r="E88" i="21"/>
  <c r="E88" i="22"/>
  <c r="E71" i="21"/>
  <c r="E71" i="22"/>
  <c r="E61" i="21"/>
  <c r="E61" i="22"/>
  <c r="E57" i="21"/>
  <c r="E57" i="22"/>
  <c r="E17" i="21"/>
  <c r="E17" i="22"/>
  <c r="J116" i="1"/>
  <c r="F116" i="22"/>
  <c r="G116" i="22" s="1"/>
  <c r="J54" i="1"/>
  <c r="F54" i="22"/>
  <c r="G54" i="22" s="1"/>
  <c r="J52" i="1"/>
  <c r="F52" i="22"/>
  <c r="G52" i="22" s="1"/>
  <c r="J93" i="1"/>
  <c r="F93" i="22"/>
  <c r="G93" i="22" s="1"/>
  <c r="J89" i="1"/>
  <c r="F89" i="22"/>
  <c r="G89" i="22" s="1"/>
  <c r="J40" i="1"/>
  <c r="F40" i="22"/>
  <c r="G40" i="22" s="1"/>
  <c r="E107" i="21"/>
  <c r="E107" i="22"/>
  <c r="E47" i="21"/>
  <c r="E47" i="22"/>
  <c r="E50" i="21"/>
  <c r="E50" i="22"/>
  <c r="J115" i="1"/>
  <c r="F115" i="22"/>
  <c r="G115" i="22" s="1"/>
  <c r="J55" i="1"/>
  <c r="F55" i="22"/>
  <c r="G55" i="22" s="1"/>
  <c r="J48" i="1"/>
  <c r="F48" i="22"/>
  <c r="G48" i="22" s="1"/>
  <c r="J49" i="1"/>
  <c r="F49" i="22"/>
  <c r="G49" i="22" s="1"/>
  <c r="J101" i="1"/>
  <c r="F101" i="22"/>
  <c r="G101" i="22" s="1"/>
  <c r="J79" i="1"/>
  <c r="F79" i="22"/>
  <c r="G79" i="22" s="1"/>
  <c r="J77" i="1"/>
  <c r="F77" i="22"/>
  <c r="G77" i="22" s="1"/>
  <c r="J88" i="1"/>
  <c r="F88" i="22"/>
  <c r="G88" i="22" s="1"/>
  <c r="J71" i="1"/>
  <c r="F71" i="22"/>
  <c r="G71" i="22" s="1"/>
  <c r="J36" i="1"/>
  <c r="F36" i="22"/>
  <c r="G36" i="22" s="1"/>
  <c r="J32" i="1"/>
  <c r="F32" i="22"/>
  <c r="G32" i="22" s="1"/>
  <c r="J23" i="1"/>
  <c r="F23" i="22"/>
  <c r="G23" i="22" s="1"/>
  <c r="J25" i="1"/>
  <c r="F25" i="22"/>
  <c r="G25" i="22" s="1"/>
  <c r="J17" i="1"/>
  <c r="F17" i="22"/>
  <c r="G17" i="22" s="1"/>
  <c r="J16" i="1"/>
  <c r="F16" i="22"/>
  <c r="G16" i="22" s="1"/>
  <c r="E90" i="21"/>
  <c r="E90" i="22"/>
  <c r="E49" i="21"/>
  <c r="E49" i="22"/>
  <c r="E104" i="21"/>
  <c r="E105" i="22"/>
  <c r="E81" i="21"/>
  <c r="E81" i="22"/>
  <c r="E41" i="21"/>
  <c r="E41" i="22"/>
  <c r="E75" i="21"/>
  <c r="E75" i="22"/>
  <c r="E38" i="21"/>
  <c r="E38" i="22"/>
  <c r="E59" i="21"/>
  <c r="E59" i="22"/>
  <c r="E29" i="21"/>
  <c r="E29" i="22"/>
  <c r="J97" i="1"/>
  <c r="F97" i="22"/>
  <c r="G97" i="22" s="1"/>
  <c r="J50" i="1"/>
  <c r="F50" i="22"/>
  <c r="G50" i="22" s="1"/>
  <c r="J103" i="1"/>
  <c r="F103" i="22"/>
  <c r="G103" i="22" s="1"/>
  <c r="J80" i="1"/>
  <c r="F80" i="22"/>
  <c r="G80" i="22" s="1"/>
  <c r="E116" i="21"/>
  <c r="E116" i="22"/>
  <c r="E54" i="21"/>
  <c r="E54" i="22"/>
  <c r="E52" i="21"/>
  <c r="E52" i="22"/>
  <c r="F115" i="21"/>
  <c r="F28" i="21"/>
  <c r="F51" i="21"/>
  <c r="F49" i="21"/>
  <c r="K101" i="1"/>
  <c r="F101" i="21"/>
  <c r="F81" i="21"/>
  <c r="F39" i="21"/>
  <c r="F69" i="21"/>
  <c r="F16" i="21"/>
  <c r="F113" i="21"/>
  <c r="F53" i="21"/>
  <c r="F90" i="21"/>
  <c r="F43" i="21"/>
  <c r="F92" i="21"/>
  <c r="F86" i="21"/>
  <c r="F100" i="21"/>
  <c r="F77" i="21"/>
  <c r="K75" i="1"/>
  <c r="F75" i="21"/>
  <c r="F88" i="21"/>
  <c r="K63" i="1"/>
  <c r="F63" i="21"/>
  <c r="F38" i="21"/>
  <c r="F61" i="21"/>
  <c r="K65" i="1"/>
  <c r="F65" i="21"/>
  <c r="K32" i="1"/>
  <c r="F32" i="21"/>
  <c r="F25" i="21"/>
  <c r="F29" i="21"/>
  <c r="F19" i="21"/>
  <c r="K117" i="1"/>
  <c r="F117" i="21"/>
  <c r="F116" i="21"/>
  <c r="F56" i="21"/>
  <c r="F54" i="21"/>
  <c r="K107" i="1"/>
  <c r="F107" i="21"/>
  <c r="F97" i="21"/>
  <c r="F47" i="21"/>
  <c r="F52" i="21"/>
  <c r="F44" i="21"/>
  <c r="F50" i="21"/>
  <c r="F95" i="21"/>
  <c r="F93" i="21"/>
  <c r="F91" i="21"/>
  <c r="F103" i="21"/>
  <c r="K89" i="1"/>
  <c r="F89" i="21"/>
  <c r="F85" i="21"/>
  <c r="F83" i="21"/>
  <c r="F80" i="21"/>
  <c r="F40" i="21"/>
  <c r="F96" i="21"/>
  <c r="F42" i="21"/>
  <c r="K78" i="1"/>
  <c r="F78" i="21"/>
  <c r="F70" i="21"/>
  <c r="F68" i="21"/>
  <c r="F46" i="21"/>
  <c r="F45" i="21"/>
  <c r="F33" i="21"/>
  <c r="K74" i="1"/>
  <c r="F74" i="21"/>
  <c r="F73" i="21"/>
  <c r="F72" i="21"/>
  <c r="F62" i="21"/>
  <c r="F37" i="21"/>
  <c r="F66" i="21"/>
  <c r="K60" i="1"/>
  <c r="F60" i="21"/>
  <c r="F35" i="21"/>
  <c r="F58" i="21"/>
  <c r="F64" i="21"/>
  <c r="F21" i="21"/>
  <c r="F31" i="21"/>
  <c r="F26" i="21"/>
  <c r="F24" i="21"/>
  <c r="F30" i="21"/>
  <c r="F15" i="21"/>
  <c r="F14" i="21"/>
  <c r="F18" i="21"/>
  <c r="F12" i="21"/>
  <c r="K114" i="1"/>
  <c r="F114" i="21"/>
  <c r="F55" i="21"/>
  <c r="F48" i="21"/>
  <c r="F104" i="21"/>
  <c r="F84" i="21"/>
  <c r="F79" i="21"/>
  <c r="F41" i="21"/>
  <c r="F76" i="21"/>
  <c r="F34" i="21"/>
  <c r="F87" i="21"/>
  <c r="F71" i="21"/>
  <c r="F67" i="21"/>
  <c r="F36" i="21"/>
  <c r="F59" i="21"/>
  <c r="K57" i="1"/>
  <c r="F57" i="21"/>
  <c r="F23" i="21"/>
  <c r="K22" i="1"/>
  <c r="F22" i="21"/>
  <c r="F17" i="21"/>
  <c r="K16" i="1"/>
  <c r="K43" i="1"/>
  <c r="K90" i="1"/>
  <c r="K53" i="1"/>
  <c r="K49" i="1"/>
  <c r="K77" i="1"/>
  <c r="K38" i="1"/>
  <c r="K17" i="1"/>
  <c r="K86" i="1"/>
  <c r="K88" i="1"/>
  <c r="K67" i="1"/>
  <c r="K48" i="1"/>
  <c r="K84" i="1"/>
  <c r="K41" i="1"/>
  <c r="K19" i="1"/>
  <c r="K92" i="1"/>
  <c r="K76" i="1"/>
  <c r="K23" i="1"/>
  <c r="K93" i="1"/>
  <c r="K80" i="1"/>
  <c r="K26" i="1"/>
  <c r="K103" i="1"/>
  <c r="K83" i="1"/>
  <c r="K21" i="1"/>
  <c r="K54" i="1"/>
  <c r="K37" i="1"/>
  <c r="K113" i="1"/>
  <c r="K71" i="1"/>
  <c r="K55" i="1"/>
  <c r="K39" i="1"/>
  <c r="K28" i="1"/>
  <c r="K81" i="1"/>
  <c r="K61" i="1"/>
  <c r="K69" i="1"/>
  <c r="K34" i="1"/>
  <c r="K56" i="1"/>
  <c r="K97" i="1"/>
  <c r="K44" i="1"/>
  <c r="K95" i="1"/>
  <c r="K40" i="1"/>
  <c r="K72" i="1"/>
  <c r="K62" i="1"/>
  <c r="K66" i="1"/>
  <c r="K64" i="1"/>
  <c r="K31" i="1"/>
  <c r="K15" i="1"/>
  <c r="K14" i="1"/>
  <c r="K18" i="1"/>
  <c r="K12" i="1"/>
  <c r="K96" i="1"/>
  <c r="K30" i="1"/>
  <c r="K50" i="1"/>
  <c r="K85" i="1"/>
  <c r="K70" i="1"/>
  <c r="K45" i="1"/>
  <c r="K91" i="1"/>
  <c r="K73" i="1"/>
  <c r="K58" i="1"/>
  <c r="K24" i="1"/>
  <c r="K116" i="1"/>
  <c r="K47" i="1"/>
  <c r="K42" i="1"/>
  <c r="K68" i="1"/>
  <c r="K33" i="1"/>
  <c r="K52" i="1"/>
  <c r="K46" i="1"/>
  <c r="K35" i="1"/>
  <c r="K105" i="1"/>
  <c r="K79" i="1"/>
  <c r="K59" i="1"/>
  <c r="K36" i="1"/>
  <c r="K29" i="1"/>
  <c r="K25" i="1"/>
  <c r="K115" i="1"/>
  <c r="K100" i="1"/>
  <c r="K87" i="1"/>
  <c r="K51" i="1"/>
  <c r="E11" i="1"/>
  <c r="H71" i="21" l="1"/>
  <c r="H79" i="21"/>
  <c r="E11" i="21"/>
  <c r="E11" i="22"/>
  <c r="H30" i="21"/>
  <c r="H12" i="21"/>
  <c r="H33" i="21"/>
  <c r="H100" i="21"/>
  <c r="H25" i="21"/>
  <c r="H83" i="21"/>
  <c r="H88" i="21"/>
  <c r="H43" i="21"/>
  <c r="H87" i="21"/>
  <c r="H117" i="21"/>
  <c r="H57" i="21"/>
  <c r="H41" i="21"/>
  <c r="H44" i="21"/>
  <c r="H58" i="21"/>
  <c r="H45" i="21"/>
  <c r="H32" i="21"/>
  <c r="H37" i="21"/>
  <c r="H38" i="21"/>
  <c r="H107" i="21"/>
  <c r="H36" i="21"/>
  <c r="H28" i="21"/>
  <c r="H103" i="21"/>
  <c r="H29" i="21"/>
  <c r="H116" i="21"/>
  <c r="H63" i="21"/>
  <c r="H85" i="21"/>
  <c r="H70" i="21"/>
  <c r="H75" i="21"/>
  <c r="H96" i="21"/>
  <c r="H92" i="21"/>
  <c r="H67" i="21"/>
  <c r="H73" i="21"/>
  <c r="H50" i="21"/>
  <c r="H47" i="21"/>
  <c r="H91" i="21"/>
  <c r="H54" i="21"/>
  <c r="H15" i="21"/>
  <c r="H35" i="21"/>
  <c r="H104" i="21"/>
  <c r="H26" i="21"/>
  <c r="H101" i="21"/>
  <c r="H113" i="21"/>
  <c r="H89" i="21"/>
  <c r="H97" i="21"/>
  <c r="H93" i="21"/>
  <c r="H34" i="21"/>
  <c r="H62" i="21"/>
  <c r="H64" i="21"/>
  <c r="H90" i="21"/>
  <c r="H49" i="21"/>
  <c r="H114" i="21"/>
  <c r="H68" i="21"/>
  <c r="H78" i="21"/>
  <c r="H23" i="21"/>
  <c r="H76" i="21"/>
  <c r="H72" i="21"/>
  <c r="H95" i="21"/>
  <c r="H81" i="21"/>
  <c r="H46" i="21"/>
  <c r="H21" i="21"/>
  <c r="H18" i="21"/>
  <c r="H40" i="21"/>
  <c r="H24" i="21"/>
  <c r="H22" i="21"/>
  <c r="H77" i="21"/>
  <c r="H52" i="21"/>
  <c r="H74" i="21"/>
  <c r="H84" i="21"/>
  <c r="H19" i="21"/>
  <c r="H53" i="21"/>
  <c r="H86" i="21"/>
  <c r="H55" i="21"/>
  <c r="H56" i="21"/>
  <c r="H39" i="21"/>
  <c r="H60" i="21"/>
  <c r="H65" i="21"/>
  <c r="H66" i="21"/>
  <c r="H16" i="21"/>
  <c r="H42" i="21"/>
  <c r="H14" i="21"/>
  <c r="H61" i="21"/>
  <c r="H80" i="21"/>
  <c r="H51" i="21"/>
  <c r="H59" i="21"/>
  <c r="H17" i="21"/>
  <c r="H48" i="21"/>
  <c r="H31" i="21"/>
  <c r="H69" i="21"/>
  <c r="F11" i="1"/>
  <c r="D11" i="1"/>
  <c r="G11" i="1" l="1"/>
  <c r="G11" i="21" s="1"/>
  <c r="H11" i="1"/>
  <c r="I11" i="1"/>
  <c r="J11" i="1"/>
  <c r="F11" i="22"/>
  <c r="G11" i="22" s="1"/>
  <c r="F11" i="21"/>
  <c r="K11" i="1"/>
  <c r="H11" i="21" l="1"/>
</calcChain>
</file>

<file path=xl/sharedStrings.xml><?xml version="1.0" encoding="utf-8"?>
<sst xmlns="http://schemas.openxmlformats.org/spreadsheetml/2006/main" count="502" uniqueCount="157">
  <si>
    <t>FAMILY &amp; FRIENDS TL</t>
  </si>
  <si>
    <r>
      <t xml:space="preserve">Cavalier SanMarco MASTER Fiyat Listesi
</t>
    </r>
    <r>
      <rPr>
        <b/>
        <i/>
        <sz val="18"/>
        <color theme="5" tint="-0.499984740745262"/>
        <rFont val="Calibri"/>
        <family val="2"/>
        <charset val="162"/>
        <scheme val="minor"/>
      </rPr>
      <t>(sadece yönetim kullanımı içindir)</t>
    </r>
  </si>
  <si>
    <t>RAIN-X</t>
  </si>
  <si>
    <t>LONDON</t>
  </si>
  <si>
    <t>MANCHESTER</t>
  </si>
  <si>
    <t>LONDON-P</t>
  </si>
  <si>
    <t>PARIS-P</t>
  </si>
  <si>
    <t>TORONTO</t>
  </si>
  <si>
    <t>WINDSOR</t>
  </si>
  <si>
    <t>DUBLIN</t>
  </si>
  <si>
    <t>YORK</t>
  </si>
  <si>
    <t>FLEECE-X</t>
  </si>
  <si>
    <t>VOLARE</t>
  </si>
  <si>
    <t>ALASKA</t>
  </si>
  <si>
    <t>STYLE NAMES</t>
  </si>
  <si>
    <t>PANDORA</t>
  </si>
  <si>
    <t>NANDO</t>
  </si>
  <si>
    <t>PANDORA-P</t>
  </si>
  <si>
    <t>OTTAWA</t>
  </si>
  <si>
    <t>SANTORINI</t>
  </si>
  <si>
    <t>CAPE TOWN</t>
  </si>
  <si>
    <t>CAPRI-3XB</t>
  </si>
  <si>
    <t>LAZIO-3XB</t>
  </si>
  <si>
    <t>ROMA-3XB</t>
  </si>
  <si>
    <t>TORINO-2XB</t>
  </si>
  <si>
    <t>LUCCA-3XB</t>
  </si>
  <si>
    <t>CAMBRIDGE</t>
  </si>
  <si>
    <t>FERNANDO</t>
  </si>
  <si>
    <t>SALERNO</t>
  </si>
  <si>
    <t>SALVADOR</t>
  </si>
  <si>
    <t>QUEBEC</t>
  </si>
  <si>
    <t>ATLANTA</t>
  </si>
  <si>
    <t>CANADA</t>
  </si>
  <si>
    <t>ALEX</t>
  </si>
  <si>
    <t>CHICAGO</t>
  </si>
  <si>
    <t>MONTE NEGRO</t>
  </si>
  <si>
    <t>PAOLO-JR</t>
  </si>
  <si>
    <t>PRAGUE-JR</t>
  </si>
  <si>
    <t>ENZO-JR</t>
  </si>
  <si>
    <t>MIAMI-JR</t>
  </si>
  <si>
    <t>PINE VALLEY</t>
  </si>
  <si>
    <t>PAOLA-JR</t>
  </si>
  <si>
    <t>ENZA-JR</t>
  </si>
  <si>
    <t>STAR</t>
  </si>
  <si>
    <t>COPENHAGEN</t>
  </si>
  <si>
    <t>HELSINKI</t>
  </si>
  <si>
    <t>OSLO</t>
  </si>
  <si>
    <t>PAOLO</t>
  </si>
  <si>
    <t>PRAGUE</t>
  </si>
  <si>
    <t>ENZO</t>
  </si>
  <si>
    <t>MIAMI</t>
  </si>
  <si>
    <t>LUGANO</t>
  </si>
  <si>
    <t>MONTANA</t>
  </si>
  <si>
    <t>ASPEN</t>
  </si>
  <si>
    <t>PAOLA</t>
  </si>
  <si>
    <t>ENZA</t>
  </si>
  <si>
    <t>MARCELA</t>
  </si>
  <si>
    <t>CANNES</t>
  </si>
  <si>
    <t>BELLA</t>
  </si>
  <si>
    <t>ÜRÜN ADI</t>
  </si>
  <si>
    <t>ÖZEL GÜNLER İNDİRİMİ NAKİT&amp;IBAN</t>
  </si>
  <si>
    <t>ÖZEL GÜNLER İNDİRİMİ K.KARTI</t>
  </si>
  <si>
    <t>ASPEN-JR</t>
  </si>
  <si>
    <t>LEONARDO</t>
  </si>
  <si>
    <t>ALEA</t>
  </si>
  <si>
    <t>ATLANTIS</t>
  </si>
  <si>
    <t>ALLEGRA</t>
  </si>
  <si>
    <t>LUNA</t>
  </si>
  <si>
    <t>AREZZO</t>
  </si>
  <si>
    <t>GORLA MINORE</t>
  </si>
  <si>
    <t>PRICE LIST VER.:</t>
  </si>
  <si>
    <t>CATEGORY</t>
  </si>
  <si>
    <t>€ PRICE</t>
  </si>
  <si>
    <t>TL PRICE</t>
  </si>
  <si>
    <t>CAPPA-P</t>
  </si>
  <si>
    <t>OXFORD</t>
  </si>
  <si>
    <t>MALTA-JR</t>
  </si>
  <si>
    <t>PADOVA-JR</t>
  </si>
  <si>
    <t>SAN DIEGO-JR</t>
  </si>
  <si>
    <t>SAVONA-JR</t>
  </si>
  <si>
    <t>MALTA</t>
  </si>
  <si>
    <t>SAN DIEGO</t>
  </si>
  <si>
    <t>VENEZIA</t>
  </si>
  <si>
    <t>VERONA</t>
  </si>
  <si>
    <t>ZANNONE</t>
  </si>
  <si>
    <t>MODEL ADI</t>
  </si>
  <si>
    <t>KATEGORİ</t>
  </si>
  <si>
    <t>TAVSİYE EDİLEN PERAKENDE SATIŞ FİYATI</t>
  </si>
  <si>
    <t>LONDON-H</t>
  </si>
  <si>
    <t>€ kur- €/$ parite</t>
  </si>
  <si>
    <t>USD PRICE</t>
  </si>
  <si>
    <t>CAPPA</t>
  </si>
  <si>
    <t>PARIS</t>
  </si>
  <si>
    <t>FLEECE-XP</t>
  </si>
  <si>
    <t>TORONTO-P</t>
  </si>
  <si>
    <t>VOLARE-P</t>
  </si>
  <si>
    <t>WINDSOR-P</t>
  </si>
  <si>
    <t>DUBLIN-P</t>
  </si>
  <si>
    <t>YORK-P</t>
  </si>
  <si>
    <t>RAIN-XP</t>
  </si>
  <si>
    <t>ALASKA-P</t>
  </si>
  <si>
    <t>LIST PRICE</t>
  </si>
  <si>
    <t>%30 İNDİRİM</t>
  </si>
  <si>
    <t>%50 İNDİRİM</t>
  </si>
  <si>
    <t>YAKLAŞIK MALİYET
(YK ŞAHSİ ALIŞLAR)</t>
  </si>
  <si>
    <t>%70 İNDİRİM</t>
  </si>
  <si>
    <t>SANTINI</t>
  </si>
  <si>
    <t>RIDER</t>
  </si>
  <si>
    <t>MONTERREY-P</t>
  </si>
  <si>
    <t>MONTERREY</t>
  </si>
  <si>
    <t>AREZZO-TBF</t>
  </si>
  <si>
    <t>GORLA MINORE-TBF</t>
  </si>
  <si>
    <t>PISA</t>
  </si>
  <si>
    <t>ENZA-TBF</t>
  </si>
  <si>
    <t>ENZO-TBF</t>
  </si>
  <si>
    <t>MODEL NAME</t>
  </si>
  <si>
    <t>PRODUCT NAME</t>
  </si>
  <si>
    <t xml:space="preserve">Cavalier SanMarco BAYİ Fiyat Listesi
</t>
  </si>
  <si>
    <t xml:space="preserve">Cavalier SanMarco PERAKENDE Fiyat Listesi
</t>
  </si>
  <si>
    <t>TOPTAN BAYİ  ALIŞ FİYATI</t>
  </si>
  <si>
    <t>+ KDV OLACAKTIR</t>
  </si>
  <si>
    <t>KDV DAHİL</t>
  </si>
  <si>
    <t>Valid Through:    01.01.26 - 31.06.26</t>
  </si>
  <si>
    <t>PUBLISH</t>
  </si>
  <si>
    <t>TECH EYERALTLARI</t>
  </si>
  <si>
    <t>NATURAL EYER ALTLARI</t>
  </si>
  <si>
    <t>TECH EYERALTI + KULAKLIK COMBO</t>
  </si>
  <si>
    <t>ÜRÜN AÇIKLAMALARINA SECOND SKIN, BASE LAYER, STRASS VS EKLE</t>
  </si>
  <si>
    <t>eski dokuma kravatları tbf ye ver, çin de yeni kravat yaptır</t>
  </si>
  <si>
    <t>ottawa isim değiştşir</t>
  </si>
  <si>
    <t>isim ver</t>
  </si>
  <si>
    <t>tech series genel isim ver</t>
  </si>
  <si>
    <t>HOCALAR VE YK ÖZEL İSKONTO ALIŞ FİYATI</t>
  </si>
  <si>
    <t>LISTE FİYATI KDV DAHİL</t>
  </si>
  <si>
    <t>NOT: 7-8-9-10 numaralı sütunlar, yani nakit/IBAN ödemeli extra indirimlerde KDV dahil değildir</t>
  </si>
  <si>
    <t>LİSTE FİYATI - KDV DAHİL</t>
  </si>
  <si>
    <t>ÜRÜN VAR / YOK</t>
  </si>
  <si>
    <t>SANTIAGO</t>
  </si>
  <si>
    <t>PAOLA-TBF</t>
  </si>
  <si>
    <t>PAOLO-TBF</t>
  </si>
  <si>
    <t>MILANO</t>
  </si>
  <si>
    <t>MENDERISO ismini MILANO ile değiştirdim</t>
  </si>
  <si>
    <t>NAPOLI</t>
  </si>
  <si>
    <t>MARBELLA</t>
  </si>
  <si>
    <t>%20 İNDİRİM</t>
  </si>
  <si>
    <t>%40 İNDİRİM</t>
  </si>
  <si>
    <t>BANDANA</t>
  </si>
  <si>
    <t>FONDI-3XB</t>
  </si>
  <si>
    <t>ATLANTIS-W</t>
  </si>
  <si>
    <t>ALEA-W</t>
  </si>
  <si>
    <t>LEONARDO-W</t>
  </si>
  <si>
    <t>VENETA</t>
  </si>
  <si>
    <t>SİTEDE MARBELLA PATH KONTROL ET, CAT. CASUAL SHIRTS OLARAK DEĞİŞTİĞİ İÇİN KODE DEĞİŞTİ</t>
  </si>
  <si>
    <t>ASPEN-STRASS</t>
  </si>
  <si>
    <t>ÜRÜN KODU VE TANIMLAMALARI AÇ</t>
  </si>
  <si>
    <t>ASPEN-STRASS AÇILACAK</t>
  </si>
  <si>
    <t>v.26.1.3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</si>
</sst>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2]\ #,##0.00"/>
    <numFmt numFmtId="165" formatCode="&quot;₺&quot;#,##0.00"/>
    <numFmt numFmtId="166" formatCode="[$$-409]#,##0.00"/>
    <numFmt numFmtId="167" formatCode="_-[$₺-41F]* #,##0.00_-;\-[$₺-41F]* #,##0.00_-;_-[$₺-41F]* &quot;-&quot;??_-;_-@_-"/>
  </numFmts>
  <fonts count="38" x14ac:knownFonts="1">
    <font>
      <sz val="10"/>
      <name val="Arial"/>
      <family val="2"/>
      <charset val="162"/>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i/>
      <sz val="11"/>
      <color theme="1"/>
      <name val="Calibri"/>
      <family val="2"/>
      <charset val="162"/>
      <scheme val="minor"/>
    </font>
    <font>
      <b/>
      <i/>
      <sz val="12"/>
      <color theme="1"/>
      <name val="Calibri"/>
      <family val="2"/>
      <charset val="162"/>
      <scheme val="minor"/>
    </font>
    <font>
      <b/>
      <i/>
      <sz val="24"/>
      <color theme="5" tint="-0.499984740745262"/>
      <name val="Calibri"/>
      <family val="2"/>
      <charset val="162"/>
      <scheme val="minor"/>
    </font>
    <font>
      <sz val="10"/>
      <color rgb="FFC00000"/>
      <name val="Arial"/>
      <family val="2"/>
      <charset val="162"/>
    </font>
    <font>
      <sz val="10"/>
      <name val="Arial"/>
      <family val="2"/>
      <charset val="162"/>
    </font>
    <font>
      <b/>
      <i/>
      <sz val="10"/>
      <color theme="1"/>
      <name val="Calibri"/>
      <family val="2"/>
      <charset val="162"/>
      <scheme val="minor"/>
    </font>
    <font>
      <b/>
      <i/>
      <sz val="18"/>
      <color theme="5" tint="-0.499984740745262"/>
      <name val="Calibri"/>
      <family val="2"/>
      <charset val="162"/>
      <scheme val="minor"/>
    </font>
    <font>
      <b/>
      <i/>
      <sz val="8"/>
      <color theme="0" tint="-0.34998626667073579"/>
      <name val="Calibri"/>
      <family val="2"/>
      <charset val="162"/>
      <scheme val="minor"/>
    </font>
    <font>
      <i/>
      <sz val="8"/>
      <color theme="0" tint="-0.499984740745262"/>
      <name val="Calibri"/>
      <family val="2"/>
      <charset val="162"/>
      <scheme val="minor"/>
    </font>
    <font>
      <b/>
      <sz val="11"/>
      <name val="Calibri"/>
      <family val="2"/>
      <charset val="162"/>
      <scheme val="minor"/>
    </font>
    <font>
      <sz val="10"/>
      <name val="Calibri"/>
      <family val="2"/>
      <charset val="162"/>
      <scheme val="minor"/>
    </font>
    <font>
      <b/>
      <sz val="10"/>
      <name val="Arial"/>
      <family val="2"/>
      <charset val="162"/>
    </font>
    <font>
      <b/>
      <sz val="12"/>
      <name val="Calibri"/>
      <family val="2"/>
      <charset val="162"/>
      <scheme val="minor"/>
    </font>
    <font>
      <b/>
      <sz val="11"/>
      <color rgb="FFC00000"/>
      <name val="Calibri"/>
      <family val="2"/>
      <charset val="162"/>
      <scheme val="minor"/>
    </font>
    <font>
      <b/>
      <sz val="10"/>
      <color theme="0"/>
      <name val="Calibri"/>
      <family val="2"/>
      <charset val="162"/>
      <scheme val="minor"/>
    </font>
    <font>
      <b/>
      <sz val="11"/>
      <color theme="1"/>
      <name val="Calibri"/>
      <family val="2"/>
      <charset val="162"/>
      <scheme val="minor"/>
    </font>
    <font>
      <b/>
      <i/>
      <sz val="9"/>
      <color theme="0"/>
      <name val="Calibri"/>
      <family val="2"/>
      <charset val="162"/>
      <scheme val="minor"/>
    </font>
    <font>
      <b/>
      <i/>
      <sz val="9"/>
      <color theme="1"/>
      <name val="Calibri"/>
      <family val="2"/>
      <charset val="162"/>
      <scheme val="minor"/>
    </font>
    <font>
      <b/>
      <sz val="9"/>
      <color rgb="FFC00000"/>
      <name val="Calibri"/>
      <family val="2"/>
      <charset val="162"/>
      <scheme val="minor"/>
    </font>
    <font>
      <b/>
      <sz val="9"/>
      <color theme="0"/>
      <name val="Calibri"/>
      <family val="2"/>
      <charset val="162"/>
      <scheme val="minor"/>
    </font>
    <font>
      <b/>
      <sz val="9"/>
      <name val="Calibri"/>
      <family val="2"/>
      <charset val="162"/>
      <scheme val="minor"/>
    </font>
    <font>
      <sz val="9"/>
      <name val="Arial"/>
      <family val="2"/>
      <charset val="162"/>
    </font>
    <font>
      <i/>
      <sz val="9"/>
      <color theme="0" tint="-0.499984740745262"/>
      <name val="Calibri"/>
      <family val="2"/>
      <charset val="162"/>
      <scheme val="minor"/>
    </font>
    <font>
      <b/>
      <sz val="8"/>
      <color theme="0"/>
      <name val="Calibri"/>
      <family val="2"/>
      <charset val="162"/>
      <scheme val="minor"/>
    </font>
    <font>
      <b/>
      <i/>
      <sz val="8"/>
      <color theme="0"/>
      <name val="Calibri"/>
      <family val="2"/>
      <charset val="162"/>
      <scheme val="minor"/>
    </font>
    <font>
      <sz val="8"/>
      <name val="Arial"/>
      <family val="2"/>
      <charset val="162"/>
    </font>
    <font>
      <b/>
      <i/>
      <sz val="9"/>
      <color theme="0" tint="-0.34998626667073579"/>
      <name val="Calibri"/>
      <family val="2"/>
      <charset val="162"/>
      <scheme val="minor"/>
    </font>
    <font>
      <sz val="9"/>
      <color theme="0" tint="-0.34998626667073579"/>
      <name val="Arial"/>
      <family val="2"/>
      <charset val="162"/>
    </font>
    <font>
      <sz val="9"/>
      <color theme="1"/>
      <name val="Calibri"/>
      <family val="2"/>
      <charset val="162"/>
      <scheme val="minor"/>
    </font>
    <font>
      <sz val="10"/>
      <color theme="1"/>
      <name val="Calibri"/>
      <family val="2"/>
      <charset val="162"/>
      <scheme val="minor"/>
    </font>
    <font>
      <b/>
      <i/>
      <sz val="9"/>
      <color rgb="FFC00000"/>
      <name val="Calibri"/>
      <family val="2"/>
      <charset val="162"/>
      <scheme val="minor"/>
    </font>
    <font>
      <i/>
      <sz val="10"/>
      <color rgb="FFC00000"/>
      <name val="Arial"/>
      <family val="2"/>
      <charset val="162"/>
    </font>
    <font>
      <b/>
      <sz val="8"/>
      <name val="Arial"/>
      <family val="2"/>
      <charset val="16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5" tint="-0.499984740745262"/>
        <bgColor indexed="64"/>
      </patternFill>
    </fill>
    <fill>
      <patternFill patternType="solid">
        <fgColor theme="1"/>
        <bgColor indexed="64"/>
      </patternFill>
    </fill>
    <fill>
      <patternFill patternType="solid">
        <fgColor theme="9" tint="0.79998168889431442"/>
        <bgColor indexed="64"/>
      </patternFill>
    </fill>
  </fills>
  <borders count="24">
    <border>
      <left/>
      <right/>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top/>
      <bottom style="hair">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auto="1"/>
      </left>
      <right/>
      <top/>
      <bottom style="hair">
        <color auto="1"/>
      </bottom>
      <diagonal/>
    </border>
    <border>
      <left/>
      <right style="medium">
        <color auto="1"/>
      </right>
      <top/>
      <bottom style="hair">
        <color auto="1"/>
      </bottom>
      <diagonal/>
    </border>
    <border>
      <left style="medium">
        <color indexed="64"/>
      </left>
      <right/>
      <top/>
      <bottom/>
      <diagonal/>
    </border>
    <border>
      <left/>
      <right style="medium">
        <color auto="1"/>
      </right>
      <top/>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s>
  <cellStyleXfs count="6">
    <xf numFmtId="0" fontId="0" fillId="0" borderId="0"/>
    <xf numFmtId="0" fontId="4" fillId="0" borderId="0"/>
    <xf numFmtId="0" fontId="3" fillId="0" borderId="0"/>
    <xf numFmtId="0" fontId="2" fillId="0" borderId="0"/>
    <xf numFmtId="0" fontId="1" fillId="0" borderId="0"/>
    <xf numFmtId="9" fontId="9" fillId="0" borderId="0" applyFont="0" applyFill="0" applyBorder="0" applyAlignment="0" applyProtection="0"/>
  </cellStyleXfs>
  <cellXfs count="101">
    <xf numFmtId="0" fontId="0" fillId="0" borderId="0" xfId="0"/>
    <xf numFmtId="0" fontId="5" fillId="2" borderId="0" xfId="1" applyFont="1" applyFill="1" applyAlignment="1">
      <alignment horizontal="center"/>
    </xf>
    <xf numFmtId="164" fontId="6" fillId="2" borderId="0" xfId="1" applyNumberFormat="1" applyFont="1" applyFill="1" applyAlignment="1">
      <alignment horizontal="center"/>
    </xf>
    <xf numFmtId="0" fontId="0" fillId="2" borderId="0" xfId="0" applyFill="1"/>
    <xf numFmtId="0" fontId="10" fillId="2" borderId="0" xfId="1" applyFont="1" applyFill="1" applyAlignment="1">
      <alignment horizontal="center"/>
    </xf>
    <xf numFmtId="0" fontId="9" fillId="0" borderId="0" xfId="0" applyFont="1"/>
    <xf numFmtId="0" fontId="13" fillId="2" borderId="0" xfId="1" applyFont="1" applyFill="1" applyAlignment="1">
      <alignment vertical="center" wrapText="1"/>
    </xf>
    <xf numFmtId="165" fontId="0" fillId="0" borderId="0" xfId="0" applyNumberFormat="1"/>
    <xf numFmtId="0" fontId="8" fillId="0" borderId="0" xfId="0" applyFont="1" applyAlignment="1">
      <alignment horizontal="center"/>
    </xf>
    <xf numFmtId="165" fontId="6" fillId="3" borderId="5" xfId="1" applyNumberFormat="1" applyFont="1" applyFill="1" applyBorder="1" applyAlignment="1">
      <alignment horizontal="center" vertical="center"/>
    </xf>
    <xf numFmtId="165" fontId="6" fillId="3" borderId="6" xfId="1" applyNumberFormat="1" applyFont="1" applyFill="1" applyBorder="1" applyAlignment="1">
      <alignment horizontal="center" vertical="center"/>
    </xf>
    <xf numFmtId="164" fontId="16" fillId="0" borderId="0" xfId="0" applyNumberFormat="1" applyFont="1"/>
    <xf numFmtId="0" fontId="15" fillId="0" borderId="5" xfId="4" applyFont="1" applyBorder="1" applyAlignment="1">
      <alignment horizontal="center" vertical="center"/>
    </xf>
    <xf numFmtId="0" fontId="18" fillId="0" borderId="0" xfId="4" applyFont="1" applyAlignment="1">
      <alignment horizontal="center" vertical="center"/>
    </xf>
    <xf numFmtId="0" fontId="1" fillId="0" borderId="0" xfId="4" applyAlignment="1">
      <alignment horizontal="center" vertical="center"/>
    </xf>
    <xf numFmtId="0" fontId="14" fillId="3" borderId="4" xfId="4" applyFont="1" applyFill="1" applyBorder="1" applyAlignment="1">
      <alignment horizontal="center" vertical="center"/>
    </xf>
    <xf numFmtId="164" fontId="17" fillId="3" borderId="5" xfId="4" applyNumberFormat="1" applyFont="1" applyFill="1" applyBorder="1" applyAlignment="1">
      <alignment horizontal="center" vertical="center"/>
    </xf>
    <xf numFmtId="167" fontId="20" fillId="0" borderId="5" xfId="4" applyNumberFormat="1" applyFont="1" applyBorder="1" applyAlignment="1">
      <alignment horizontal="center" vertical="center"/>
    </xf>
    <xf numFmtId="0" fontId="20" fillId="0" borderId="0" xfId="4" applyFont="1" applyAlignment="1">
      <alignment horizontal="center" vertical="center"/>
    </xf>
    <xf numFmtId="167" fontId="20" fillId="0" borderId="0" xfId="4" applyNumberFormat="1" applyFont="1" applyAlignment="1">
      <alignment horizontal="center" vertical="center"/>
    </xf>
    <xf numFmtId="166" fontId="20" fillId="0" borderId="0" xfId="4" applyNumberFormat="1" applyFont="1" applyAlignment="1">
      <alignment horizontal="center" vertical="center"/>
    </xf>
    <xf numFmtId="0" fontId="5" fillId="3" borderId="4" xfId="1" applyFont="1" applyFill="1" applyBorder="1" applyAlignment="1">
      <alignment horizontal="center"/>
    </xf>
    <xf numFmtId="0" fontId="18" fillId="3" borderId="5" xfId="4" applyFont="1" applyFill="1" applyBorder="1" applyAlignment="1">
      <alignment horizontal="center" vertical="center"/>
    </xf>
    <xf numFmtId="1" fontId="12" fillId="3" borderId="5" xfId="1" applyNumberFormat="1" applyFont="1" applyFill="1" applyBorder="1" applyAlignment="1">
      <alignment horizontal="right"/>
    </xf>
    <xf numFmtId="4" fontId="0" fillId="2" borderId="0" xfId="0" applyNumberFormat="1" applyFill="1" applyAlignment="1">
      <alignment horizontal="center"/>
    </xf>
    <xf numFmtId="0" fontId="15" fillId="3" borderId="5" xfId="4" applyFont="1" applyFill="1" applyBorder="1" applyAlignment="1">
      <alignment horizontal="center" vertical="center"/>
    </xf>
    <xf numFmtId="164" fontId="21" fillId="4" borderId="5" xfId="1" applyNumberFormat="1" applyFont="1" applyFill="1" applyBorder="1" applyAlignment="1">
      <alignment horizontal="center" vertical="center" wrapText="1"/>
    </xf>
    <xf numFmtId="166" fontId="21" fillId="4" borderId="5" xfId="1" applyNumberFormat="1" applyFont="1" applyFill="1" applyBorder="1" applyAlignment="1">
      <alignment horizontal="center" vertical="center" wrapText="1"/>
    </xf>
    <xf numFmtId="166" fontId="21" fillId="4" borderId="6" xfId="1" applyNumberFormat="1" applyFont="1" applyFill="1" applyBorder="1" applyAlignment="1">
      <alignment horizontal="center" vertical="center" wrapText="1"/>
    </xf>
    <xf numFmtId="0" fontId="22" fillId="2" borderId="0" xfId="1" applyFont="1" applyFill="1" applyAlignment="1">
      <alignment horizontal="center"/>
    </xf>
    <xf numFmtId="0" fontId="23" fillId="3" borderId="5" xfId="4" applyFont="1" applyFill="1" applyBorder="1" applyAlignment="1">
      <alignment horizontal="center" vertical="center"/>
    </xf>
    <xf numFmtId="0" fontId="24" fillId="5" borderId="5" xfId="4" applyFont="1" applyFill="1" applyBorder="1" applyAlignment="1">
      <alignment horizontal="center" vertical="center"/>
    </xf>
    <xf numFmtId="0" fontId="25" fillId="3" borderId="5" xfId="4" applyFont="1" applyFill="1" applyBorder="1" applyAlignment="1">
      <alignment horizontal="center" vertical="center"/>
    </xf>
    <xf numFmtId="0" fontId="26" fillId="2" borderId="0" xfId="0" applyFont="1" applyFill="1"/>
    <xf numFmtId="0" fontId="26" fillId="0" borderId="0" xfId="0" applyFont="1"/>
    <xf numFmtId="0" fontId="14" fillId="3" borderId="7" xfId="4" applyFont="1" applyFill="1" applyBorder="1" applyAlignment="1">
      <alignment horizontal="center" vertical="center"/>
    </xf>
    <xf numFmtId="0" fontId="15" fillId="3" borderId="8" xfId="4" applyFont="1" applyFill="1" applyBorder="1" applyAlignment="1">
      <alignment horizontal="center" vertical="center"/>
    </xf>
    <xf numFmtId="0" fontId="25" fillId="3" borderId="8" xfId="4" applyFont="1" applyFill="1" applyBorder="1" applyAlignment="1">
      <alignment horizontal="center" vertical="center"/>
    </xf>
    <xf numFmtId="164" fontId="17" fillId="3" borderId="8" xfId="4" applyNumberFormat="1" applyFont="1" applyFill="1" applyBorder="1" applyAlignment="1">
      <alignment horizontal="center" vertical="center"/>
    </xf>
    <xf numFmtId="165" fontId="6" fillId="3" borderId="8" xfId="1" applyNumberFormat="1" applyFont="1" applyFill="1" applyBorder="1" applyAlignment="1">
      <alignment horizontal="center" vertical="center"/>
    </xf>
    <xf numFmtId="165" fontId="6" fillId="3" borderId="9" xfId="1" applyNumberFormat="1" applyFont="1" applyFill="1" applyBorder="1" applyAlignment="1">
      <alignment horizontal="center" vertical="center"/>
    </xf>
    <xf numFmtId="0" fontId="27" fillId="2" borderId="0" xfId="1" applyFont="1" applyFill="1" applyAlignment="1">
      <alignment vertical="center" wrapText="1"/>
    </xf>
    <xf numFmtId="0" fontId="24" fillId="5" borderId="4" xfId="4" applyFont="1" applyFill="1" applyBorder="1" applyAlignment="1">
      <alignment horizontal="center" vertical="center"/>
    </xf>
    <xf numFmtId="0" fontId="26" fillId="0" borderId="0" xfId="0" applyFont="1" applyAlignment="1">
      <alignment vertical="center" wrapText="1"/>
    </xf>
    <xf numFmtId="0" fontId="28" fillId="5" borderId="4" xfId="4" applyFont="1" applyFill="1" applyBorder="1" applyAlignment="1">
      <alignment horizontal="center" vertical="center"/>
    </xf>
    <xf numFmtId="0" fontId="28" fillId="5" borderId="5" xfId="4" applyFont="1" applyFill="1" applyBorder="1" applyAlignment="1">
      <alignment horizontal="center" vertical="center"/>
    </xf>
    <xf numFmtId="164" fontId="29" fillId="4" borderId="5" xfId="1" applyNumberFormat="1" applyFont="1" applyFill="1" applyBorder="1" applyAlignment="1">
      <alignment horizontal="center" vertical="center" wrapText="1"/>
    </xf>
    <xf numFmtId="166" fontId="29" fillId="4" borderId="5" xfId="1" applyNumberFormat="1" applyFont="1" applyFill="1" applyBorder="1" applyAlignment="1">
      <alignment horizontal="center" vertical="center" wrapText="1"/>
    </xf>
    <xf numFmtId="0" fontId="30" fillId="0" borderId="0" xfId="0" applyFont="1" applyAlignment="1">
      <alignment vertical="center" wrapText="1"/>
    </xf>
    <xf numFmtId="166" fontId="29" fillId="4" borderId="6" xfId="1" applyNumberFormat="1" applyFont="1" applyFill="1" applyBorder="1" applyAlignment="1">
      <alignment horizontal="center" vertical="center" wrapText="1"/>
    </xf>
    <xf numFmtId="0" fontId="22" fillId="3" borderId="4" xfId="1" applyFont="1" applyFill="1" applyBorder="1" applyAlignment="1">
      <alignment horizontal="center"/>
    </xf>
    <xf numFmtId="1" fontId="31" fillId="3" borderId="5" xfId="1" applyNumberFormat="1" applyFont="1" applyFill="1" applyBorder="1" applyAlignment="1">
      <alignment horizontal="right"/>
    </xf>
    <xf numFmtId="1" fontId="32" fillId="3" borderId="5" xfId="0" applyNumberFormat="1" applyFont="1" applyFill="1" applyBorder="1" applyAlignment="1">
      <alignment horizontal="right"/>
    </xf>
    <xf numFmtId="1" fontId="32" fillId="3" borderId="6" xfId="0" applyNumberFormat="1" applyFont="1" applyFill="1" applyBorder="1" applyAlignment="1">
      <alignment horizontal="right"/>
    </xf>
    <xf numFmtId="166" fontId="20" fillId="0" borderId="5" xfId="4" applyNumberFormat="1" applyFont="1" applyBorder="1" applyAlignment="1">
      <alignment horizontal="center" vertical="center"/>
    </xf>
    <xf numFmtId="0" fontId="14" fillId="6" borderId="4" xfId="4" applyFont="1" applyFill="1" applyBorder="1" applyAlignment="1">
      <alignment horizontal="center" vertical="center"/>
    </xf>
    <xf numFmtId="164" fontId="16" fillId="6" borderId="5" xfId="4" applyNumberFormat="1" applyFont="1" applyFill="1" applyBorder="1" applyAlignment="1">
      <alignment horizontal="center" vertical="center"/>
    </xf>
    <xf numFmtId="0" fontId="1" fillId="0" borderId="0" xfId="4" applyAlignment="1">
      <alignment horizontal="left" vertical="center"/>
    </xf>
    <xf numFmtId="0" fontId="19" fillId="5" borderId="18" xfId="4" applyFont="1" applyFill="1" applyBorder="1" applyAlignment="1">
      <alignment horizontal="center" vertical="center"/>
    </xf>
    <xf numFmtId="167" fontId="19" fillId="5" borderId="18" xfId="4" applyNumberFormat="1" applyFont="1" applyFill="1" applyBorder="1" applyAlignment="1">
      <alignment horizontal="center" vertical="center"/>
    </xf>
    <xf numFmtId="166" fontId="19" fillId="5" borderId="18" xfId="4" applyNumberFormat="1" applyFont="1" applyFill="1" applyBorder="1" applyAlignment="1">
      <alignment horizontal="center" vertical="center"/>
    </xf>
    <xf numFmtId="0" fontId="33" fillId="0" borderId="0" xfId="4" applyFont="1" applyAlignment="1">
      <alignment horizontal="center" vertical="center"/>
    </xf>
    <xf numFmtId="0" fontId="34" fillId="0" borderId="0" xfId="4" applyFont="1" applyAlignment="1">
      <alignment horizontal="center" vertical="center"/>
    </xf>
    <xf numFmtId="0" fontId="35" fillId="3" borderId="4" xfId="1" applyFont="1" applyFill="1" applyBorder="1" applyAlignment="1">
      <alignment horizontal="center"/>
    </xf>
    <xf numFmtId="0" fontId="36" fillId="2" borderId="0" xfId="0" applyFont="1" applyFill="1"/>
    <xf numFmtId="0" fontId="18" fillId="0" borderId="19" xfId="4" applyFont="1" applyBorder="1" applyAlignment="1">
      <alignment horizontal="center" vertical="center"/>
    </xf>
    <xf numFmtId="0" fontId="18" fillId="0" borderId="20" xfId="4" applyFont="1" applyBorder="1" applyAlignment="1">
      <alignment horizontal="center" vertical="center"/>
    </xf>
    <xf numFmtId="167" fontId="23" fillId="0" borderId="20" xfId="4" applyNumberFormat="1" applyFont="1" applyBorder="1" applyAlignment="1">
      <alignment horizontal="center" vertical="center"/>
    </xf>
    <xf numFmtId="4" fontId="18" fillId="0" borderId="20" xfId="4" applyNumberFormat="1" applyFont="1" applyBorder="1" applyAlignment="1">
      <alignment horizontal="center" vertical="center"/>
    </xf>
    <xf numFmtId="167" fontId="23" fillId="0" borderId="21" xfId="4" applyNumberFormat="1" applyFont="1" applyBorder="1" applyAlignment="1">
      <alignment horizontal="center" vertical="center"/>
    </xf>
    <xf numFmtId="0" fontId="19" fillId="5" borderId="22" xfId="4" applyFont="1" applyFill="1" applyBorder="1" applyAlignment="1">
      <alignment horizontal="center" vertical="center"/>
    </xf>
    <xf numFmtId="0" fontId="19" fillId="5" borderId="23" xfId="4" applyFont="1" applyFill="1" applyBorder="1" applyAlignment="1">
      <alignment horizontal="center" vertical="center"/>
    </xf>
    <xf numFmtId="0" fontId="14" fillId="6" borderId="7" xfId="4" applyFont="1" applyFill="1" applyBorder="1" applyAlignment="1">
      <alignment horizontal="center" vertical="center"/>
    </xf>
    <xf numFmtId="0" fontId="15" fillId="0" borderId="8" xfId="4" applyFont="1" applyBorder="1" applyAlignment="1">
      <alignment horizontal="center" vertical="center"/>
    </xf>
    <xf numFmtId="164" fontId="16" fillId="6" borderId="8" xfId="4" applyNumberFormat="1" applyFont="1" applyFill="1" applyBorder="1" applyAlignment="1">
      <alignment horizontal="center" vertical="center"/>
    </xf>
    <xf numFmtId="167" fontId="20" fillId="0" borderId="8" xfId="4" applyNumberFormat="1" applyFont="1" applyBorder="1" applyAlignment="1">
      <alignment horizontal="center" vertical="center"/>
    </xf>
    <xf numFmtId="166" fontId="20" fillId="0" borderId="8" xfId="4" applyNumberFormat="1" applyFont="1" applyBorder="1" applyAlignment="1">
      <alignment horizontal="center" vertical="center"/>
    </xf>
    <xf numFmtId="1" fontId="12" fillId="3" borderId="6" xfId="1" applyNumberFormat="1" applyFont="1" applyFill="1" applyBorder="1" applyAlignment="1">
      <alignment horizontal="right"/>
    </xf>
    <xf numFmtId="166" fontId="29" fillId="4" borderId="6" xfId="1" quotePrefix="1" applyNumberFormat="1" applyFont="1" applyFill="1" applyBorder="1" applyAlignment="1">
      <alignment horizontal="center" vertical="center" wrapText="1"/>
    </xf>
    <xf numFmtId="1" fontId="24" fillId="5" borderId="5" xfId="4" applyNumberFormat="1" applyFont="1" applyFill="1" applyBorder="1" applyAlignment="1">
      <alignment horizontal="center" vertical="center"/>
    </xf>
    <xf numFmtId="1" fontId="28" fillId="5" borderId="5" xfId="4" applyNumberFormat="1" applyFont="1" applyFill="1" applyBorder="1" applyAlignment="1">
      <alignment horizontal="center" vertical="center"/>
    </xf>
    <xf numFmtId="1" fontId="37" fillId="2" borderId="0" xfId="0" applyNumberFormat="1" applyFont="1" applyFill="1" applyAlignment="1">
      <alignment horizontal="center" vertical="center" wrapText="1"/>
    </xf>
    <xf numFmtId="9" fontId="29" fillId="4" borderId="5" xfId="5" applyFont="1" applyFill="1" applyBorder="1" applyAlignment="1">
      <alignment horizontal="center" vertical="center" wrapText="1"/>
    </xf>
    <xf numFmtId="9" fontId="29" fillId="4" borderId="6" xfId="5" applyFont="1" applyFill="1" applyBorder="1" applyAlignment="1">
      <alignment horizontal="center" vertical="center" wrapText="1"/>
    </xf>
    <xf numFmtId="0" fontId="15" fillId="0" borderId="6" xfId="4" applyFont="1" applyBorder="1" applyAlignment="1">
      <alignment horizontal="center" vertical="center"/>
    </xf>
    <xf numFmtId="0" fontId="15" fillId="0" borderId="9" xfId="4" applyFont="1" applyBorder="1" applyAlignment="1">
      <alignment horizontal="center" vertical="center"/>
    </xf>
    <xf numFmtId="0" fontId="7" fillId="3" borderId="11" xfId="1" applyFont="1" applyFill="1" applyBorder="1" applyAlignment="1">
      <alignment horizontal="center" vertical="center" wrapText="1"/>
    </xf>
    <xf numFmtId="0" fontId="7" fillId="3" borderId="12" xfId="1" applyFont="1" applyFill="1" applyBorder="1" applyAlignment="1">
      <alignment horizontal="center" vertical="center" wrapText="1"/>
    </xf>
    <xf numFmtId="0" fontId="7" fillId="3" borderId="13" xfId="1" applyFont="1" applyFill="1" applyBorder="1" applyAlignment="1">
      <alignment horizontal="center" vertical="center" wrapText="1"/>
    </xf>
    <xf numFmtId="0" fontId="7" fillId="3" borderId="16" xfId="1" applyFont="1" applyFill="1" applyBorder="1" applyAlignment="1">
      <alignment horizontal="center" vertical="center" wrapText="1"/>
    </xf>
    <xf numFmtId="0" fontId="7" fillId="3" borderId="0" xfId="1" applyFont="1" applyFill="1" applyAlignment="1">
      <alignment horizontal="center" vertical="center" wrapText="1"/>
    </xf>
    <xf numFmtId="0" fontId="7" fillId="3" borderId="17" xfId="1" applyFont="1" applyFill="1" applyBorder="1" applyAlignment="1">
      <alignment horizontal="center" vertical="center" wrapText="1"/>
    </xf>
    <xf numFmtId="0" fontId="7" fillId="3" borderId="14" xfId="1" applyFont="1" applyFill="1" applyBorder="1" applyAlignment="1">
      <alignment horizontal="center" vertical="center" wrapText="1"/>
    </xf>
    <xf numFmtId="0" fontId="7" fillId="3" borderId="10" xfId="1" applyFont="1" applyFill="1" applyBorder="1" applyAlignment="1">
      <alignment horizontal="center" vertical="center" wrapText="1"/>
    </xf>
    <xf numFmtId="0" fontId="7" fillId="3" borderId="15" xfId="1" applyFont="1" applyFill="1" applyBorder="1" applyAlignment="1">
      <alignment horizontal="center" vertical="center" wrapText="1"/>
    </xf>
    <xf numFmtId="0" fontId="7" fillId="3" borderId="1" xfId="1" applyFont="1" applyFill="1" applyBorder="1" applyAlignment="1">
      <alignment horizontal="center" wrapText="1"/>
    </xf>
    <xf numFmtId="0" fontId="7" fillId="3" borderId="2" xfId="1" applyFont="1" applyFill="1" applyBorder="1" applyAlignment="1">
      <alignment horizontal="center" wrapText="1"/>
    </xf>
    <xf numFmtId="0" fontId="7" fillId="3" borderId="3" xfId="1" applyFont="1" applyFill="1" applyBorder="1" applyAlignment="1">
      <alignment horizontal="center" wrapText="1"/>
    </xf>
    <xf numFmtId="0" fontId="7" fillId="3" borderId="4" xfId="1" applyFont="1" applyFill="1" applyBorder="1" applyAlignment="1">
      <alignment horizontal="center" wrapText="1"/>
    </xf>
    <xf numFmtId="0" fontId="7" fillId="3" borderId="5" xfId="1" applyFont="1" applyFill="1" applyBorder="1" applyAlignment="1">
      <alignment horizontal="center" wrapText="1"/>
    </xf>
    <xf numFmtId="0" fontId="7" fillId="3" borderId="6" xfId="1" applyFont="1" applyFill="1" applyBorder="1" applyAlignment="1">
      <alignment horizontal="center" wrapText="1"/>
    </xf>
  </cellXfs>
  <cellStyles count="6">
    <cellStyle name="Normal" xfId="0" builtinId="0"/>
    <cellStyle name="Normal 2" xfId="1"/>
    <cellStyle name="Normal 2 2" xfId="3"/>
    <cellStyle name="Normal 3" xfId="4"/>
    <cellStyle name="Normal 4" xfId="2"/>
    <cellStyle name="Yüzde" xfId="5" builtinId="5"/>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129540</xdr:colOff>
      <xdr:row>1</xdr:row>
      <xdr:rowOff>76200</xdr:rowOff>
    </xdr:from>
    <xdr:to>
      <xdr:col>2</xdr:col>
      <xdr:colOff>76199</xdr:colOff>
      <xdr:row>7</xdr:row>
      <xdr:rowOff>1731</xdr:rowOff>
    </xdr:to>
    <xdr:pic>
      <xdr:nvPicPr>
        <xdr:cNvPr id="2" name="Picture 1">
          <a:extLst>
            <a:ext uri="{FF2B5EF4-FFF2-40B4-BE49-F238E27FC236}">
              <a16:creationId xmlns:a16="http://schemas.microsoft.com/office/drawing/2014/main" xmlns="" id="{096E9B5C-CE0E-4727-A2AD-F9B3099DF3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040" y="190500"/>
          <a:ext cx="1173479" cy="11142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160020</xdr:colOff>
      <xdr:row>1</xdr:row>
      <xdr:rowOff>45720</xdr:rowOff>
    </xdr:from>
    <xdr:to>
      <xdr:col>1</xdr:col>
      <xdr:colOff>1333499</xdr:colOff>
      <xdr:row>6</xdr:row>
      <xdr:rowOff>169371</xdr:rowOff>
    </xdr:to>
    <xdr:pic>
      <xdr:nvPicPr>
        <xdr:cNvPr id="4" name="Picture 3">
          <a:extLst>
            <a:ext uri="{FF2B5EF4-FFF2-40B4-BE49-F238E27FC236}">
              <a16:creationId xmlns:a16="http://schemas.microsoft.com/office/drawing/2014/main" xmlns="" id="{58A64C7A-1BD0-F8A4-B1AC-F7A5489443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 y="45720"/>
          <a:ext cx="1173479" cy="1114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129540</xdr:colOff>
      <xdr:row>1</xdr:row>
      <xdr:rowOff>76200</xdr:rowOff>
    </xdr:from>
    <xdr:to>
      <xdr:col>1</xdr:col>
      <xdr:colOff>1303019</xdr:colOff>
      <xdr:row>7</xdr:row>
      <xdr:rowOff>0</xdr:rowOff>
    </xdr:to>
    <xdr:pic>
      <xdr:nvPicPr>
        <xdr:cNvPr id="2" name="Picture 1">
          <a:extLst>
            <a:ext uri="{FF2B5EF4-FFF2-40B4-BE49-F238E27FC236}">
              <a16:creationId xmlns:a16="http://schemas.microsoft.com/office/drawing/2014/main" xmlns="" id="{441C4EF6-ADCA-41B5-A4D1-C8A868E5A6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0040" y="190500"/>
          <a:ext cx="1173479" cy="11142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SM%20MASTER%20PRODUCT%20&amp;%20COD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amp; HOW TO USE"/>
      <sheetName val="STYLE NAMES"/>
      <sheetName val="CODE GENERATOR"/>
      <sheetName val="SKU LIST - LINKED"/>
      <sheetName val="MASTER CODE DATA"/>
      <sheetName val="CATEGORY ID"/>
      <sheetName val="FABRIC-MATERIAL TYPE CODES"/>
      <sheetName val="CSM ACTIVE PRICE LIST"/>
    </sheetNames>
    <sheetDataSet>
      <sheetData sheetId="0"/>
      <sheetData sheetId="1">
        <row r="1">
          <cell r="B1" t="str">
            <v>STYLE NAMES</v>
          </cell>
          <cell r="C1" t="str">
            <v>PRODUCT NAME</v>
          </cell>
          <cell r="D1" t="str">
            <v>STYLE CATEGORY CODE</v>
          </cell>
          <cell r="E1" t="str">
            <v>MAIN CATEGORY</v>
          </cell>
          <cell r="F1" t="str">
            <v>WEB CATEGORY</v>
          </cell>
          <cell r="G1" t="str">
            <v>PRODUCT GROUP</v>
          </cell>
          <cell r="H1" t="str">
            <v>TYPE/GENDER</v>
          </cell>
          <cell r="I1" t="str">
            <v>PRODUCT CATEGORY</v>
          </cell>
          <cell r="J1" t="str">
            <v>ATTRIBUTES 
(OLD PROD. CAT)</v>
          </cell>
          <cell r="K1" t="str">
            <v>PRODUCT TITLE</v>
          </cell>
          <cell r="L1" t="str">
            <v>PRODUCT DESCRIPTION</v>
          </cell>
          <cell r="M1" t="str">
            <v>PRODUCT FEATURES</v>
          </cell>
          <cell r="N1" t="str">
            <v>CARE INSTRUCTIONS</v>
          </cell>
          <cell r="O1" t="str">
            <v>ÜRÜN ADI</v>
          </cell>
        </row>
        <row r="2">
          <cell r="B2" t="str">
            <v>ABU DHABI</v>
          </cell>
          <cell r="C2"/>
          <cell r="D2" t="str">
            <v/>
          </cell>
          <cell r="E2"/>
          <cell r="F2"/>
          <cell r="G2"/>
          <cell r="H2"/>
          <cell r="I2"/>
          <cell r="J2">
            <v>0</v>
          </cell>
          <cell r="K2" t="str">
            <v/>
          </cell>
          <cell r="L2"/>
          <cell r="M2"/>
          <cell r="N2"/>
          <cell r="O2"/>
        </row>
        <row r="3">
          <cell r="B3" t="str">
            <v>ALABAMA</v>
          </cell>
          <cell r="C3"/>
          <cell r="D3" t="str">
            <v/>
          </cell>
          <cell r="E3"/>
          <cell r="F3"/>
          <cell r="G3"/>
          <cell r="H3"/>
          <cell r="I3"/>
          <cell r="J3">
            <v>0</v>
          </cell>
          <cell r="K3" t="str">
            <v/>
          </cell>
          <cell r="L3"/>
          <cell r="M3"/>
          <cell r="N3"/>
          <cell r="O3"/>
        </row>
        <row r="4">
          <cell r="B4" t="str">
            <v>ALASKA</v>
          </cell>
          <cell r="C4" t="str">
            <v>WINTER STABLE RUG</v>
          </cell>
          <cell r="D4" t="str">
            <v>H.RUGFL_STR</v>
          </cell>
          <cell r="E4" t="str">
            <v>HORSE</v>
          </cell>
          <cell r="F4" t="str">
            <v>HORSE</v>
          </cell>
          <cell r="G4" t="str">
            <v>RUGS</v>
          </cell>
          <cell r="H4" t="str">
            <v>FULL</v>
          </cell>
          <cell r="I4" t="str">
            <v>STABLE RUGS</v>
          </cell>
          <cell r="J4" t="str">
            <v>STABLE RUGS</v>
          </cell>
          <cell r="K4" t="str">
            <v>WINTER STABLE RUG</v>
          </cell>
          <cell r="L4" t="str">
            <v>Winter Stable Rug - 300 GR.
Thanks to its quality and high-tech components, our winter rugs will keep your horse extra warm in the stable. Not to mention the elegant look!</v>
          </cell>
          <cell r="M4" t="str">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ell>
          <cell r="N4" t="str">
            <v>Industrial washing is recommended</v>
          </cell>
          <cell r="O4" t="str">
            <v>KIŞLIK AHIR BLANKETİ</v>
          </cell>
        </row>
        <row r="5">
          <cell r="B5" t="str">
            <v>ALASKA-P</v>
          </cell>
          <cell r="C5" t="str">
            <v>WINTER STABLE RUG</v>
          </cell>
          <cell r="D5" t="str">
            <v>H.RUGPN_STR</v>
          </cell>
          <cell r="E5" t="str">
            <v>HORSE</v>
          </cell>
          <cell r="F5" t="str">
            <v>PONY</v>
          </cell>
          <cell r="G5" t="str">
            <v>RUGS</v>
          </cell>
          <cell r="H5" t="str">
            <v>PONY</v>
          </cell>
          <cell r="I5" t="str">
            <v>STABLE RUGS</v>
          </cell>
          <cell r="J5" t="str">
            <v>STABLE RUGS</v>
          </cell>
          <cell r="K5" t="str">
            <v>PONY - WINTER STABLE RUG</v>
          </cell>
          <cell r="L5" t="str">
            <v>Pony Winter Stable Rug - 300 GR.
Thanks to its quality and high-tech components, our winter rugs will keep your horse extra warm in the stable. Not to mention the elegant look!</v>
          </cell>
          <cell r="M5" t="str">
            <v>*Water-repellent heavy duty shell fabric
*Soft, natural and skin-friendly lining fabric
*300 gr Thermo Fiber Filling
*Custom pattern to match your horses anatomy
*Adjustable shoulder straps for better fitting and fleece collar
*Non-breakable metal claps
Composition:
Shell fabric: 100% Polyester
Lining: 100% Cotton
Filling: 100% Polyester Non-woven</v>
          </cell>
          <cell r="N5" t="str">
            <v>Industrial washing is recommended</v>
          </cell>
          <cell r="O5" t="str">
            <v>PONY KIŞLIK AHIR BLANKETİ</v>
          </cell>
        </row>
        <row r="6">
          <cell r="B6" t="str">
            <v>ALBANIA</v>
          </cell>
          <cell r="C6"/>
          <cell r="D6" t="str">
            <v/>
          </cell>
          <cell r="E6"/>
          <cell r="F6"/>
          <cell r="G6"/>
          <cell r="H6"/>
          <cell r="I6"/>
          <cell r="J6">
            <v>0</v>
          </cell>
          <cell r="K6" t="str">
            <v/>
          </cell>
          <cell r="L6"/>
          <cell r="M6"/>
          <cell r="N6"/>
          <cell r="O6"/>
        </row>
        <row r="7">
          <cell r="B7" t="str">
            <v>ALBANY</v>
          </cell>
          <cell r="C7"/>
          <cell r="D7" t="str">
            <v/>
          </cell>
          <cell r="E7"/>
          <cell r="F7"/>
          <cell r="G7"/>
          <cell r="H7"/>
          <cell r="I7"/>
          <cell r="J7">
            <v>0</v>
          </cell>
          <cell r="K7" t="str">
            <v/>
          </cell>
          <cell r="L7"/>
          <cell r="M7"/>
          <cell r="N7"/>
          <cell r="O7"/>
        </row>
        <row r="8">
          <cell r="B8" t="str">
            <v>ALEA</v>
          </cell>
          <cell r="C8" t="str">
            <v>WOMEN'S KNEE GRIP PRO BREECHES</v>
          </cell>
          <cell r="D8" t="str">
            <v>R.BOTWN_BRC</v>
          </cell>
          <cell r="E8" t="str">
            <v>RIDER</v>
          </cell>
          <cell r="F8" t="str">
            <v>WOMEN</v>
          </cell>
          <cell r="G8" t="str">
            <v>BOTTOMS</v>
          </cell>
          <cell r="H8" t="str">
            <v>WOMEN</v>
          </cell>
          <cell r="I8" t="str">
            <v>BREECHES</v>
          </cell>
          <cell r="J8" t="str">
            <v>BREECHES</v>
          </cell>
          <cell r="K8" t="str">
            <v>WOMEN'S KNEE GRIP PRO BREECHES</v>
          </cell>
          <cell r="L8" t="str">
            <v>MADE IN ITALY WITH PREMIUM ITALIAN FABRICS
Professional Series Breeches that comes in a very soft microfibre that fit snugly that allows full movement whatever your discipline. Ideal for a long day activity. Grip knees for the best comfort. Finished with an elastic sock for a perfect fit.</v>
          </cell>
          <cell r="M8" t="str">
            <v>*Italian Premium fabric
*Extra-soft and comfortable technical jersey
*4-way stretch fabric
*Breathable and Quick Dry
*Wrinkle-free and Easy Care
*Knee Grip
Composition:
74% Micro PA /  26% Elasthane</v>
          </cell>
          <cell r="N8" t="str">
            <v>Machine Wash at 30°C
Mild process
Iron at low temperature
Iron from REVERSE
Do NOT iron on logos or prints
Do not bleach
Do NOT Tumble Dry</v>
          </cell>
          <cell r="O8" t="str">
            <v>KADIN PRO BİNİCİ PANTOLONU</v>
          </cell>
        </row>
        <row r="9">
          <cell r="B9" t="str">
            <v>ALEA-W</v>
          </cell>
          <cell r="C9" t="str">
            <v>WOMEN'S KNEE GRIP PRO WINTER BREECHES</v>
          </cell>
          <cell r="D9" t="str">
            <v>R.BOTWN_BRC</v>
          </cell>
          <cell r="E9" t="str">
            <v>RIDER</v>
          </cell>
          <cell r="F9" t="str">
            <v>WOMEN</v>
          </cell>
          <cell r="G9" t="str">
            <v>BOTTOMS</v>
          </cell>
          <cell r="H9" t="str">
            <v>WOMEN</v>
          </cell>
          <cell r="I9" t="str">
            <v>BREECHES</v>
          </cell>
          <cell r="J9" t="str">
            <v>BREECHES</v>
          </cell>
          <cell r="K9" t="str">
            <v>WOMEN'S KNEE GRIP PRO WINTER BREECHES</v>
          </cell>
          <cell r="L9" t="str">
            <v>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ell>
          <cell r="M9" t="str">
            <v>*Italian Premium fabric
*Extra-soft and comfortable technical jersey with heat tech polar fabric inside
*4-way stretch fabric
*Breathable and Quick Dry
*Wrinkle-free and Easy Care
*Knee Grip
Composition:
74% Micro PA /  26% Elasthane</v>
          </cell>
          <cell r="N9" t="str">
            <v>Machine Wash at 30°C
Mild process
Iron at low temperature
Iron from REVERSE
Do NOT iron on logos or prints
Do not bleach
Do NOT Tumble Dry</v>
          </cell>
          <cell r="O9" t="str">
            <v>KIŞLIK KADIN PRO BİNİCİ PANTOLONU</v>
          </cell>
        </row>
        <row r="10">
          <cell r="B10" t="str">
            <v>ALEX</v>
          </cell>
          <cell r="C10" t="str">
            <v>KID'S FLEECE JUMPER</v>
          </cell>
          <cell r="D10" t="str">
            <v>R.S&amp;JKU_JMP</v>
          </cell>
          <cell r="E10" t="str">
            <v>RIDER</v>
          </cell>
          <cell r="F10" t="str">
            <v>JUNIOR</v>
          </cell>
          <cell r="G10" t="str">
            <v>SWEATS &amp; JUMPERS</v>
          </cell>
          <cell r="H10" t="str">
            <v>KIDS UNISEX</v>
          </cell>
          <cell r="I10" t="str">
            <v>JUMPERS</v>
          </cell>
          <cell r="J10" t="str">
            <v>JUMPERS</v>
          </cell>
          <cell r="K10" t="str">
            <v>KID'S FLEECE JUMPER</v>
          </cell>
          <cell r="L10" t="str">
            <v xml:space="preserve">CSM fleece jumpers are made with high quality fleece fabric to keep you warm in the horse world where you spend the majority of your time in the outdoors.
</v>
          </cell>
          <cell r="M10" t="str">
            <v>*High density &amp; soft fleece fabric
*Extra-warm
Composition:
100% Polyester</v>
          </cell>
          <cell r="N10" t="str">
            <v>Machine Wash at 30°C
Mild process
Do not bleach
Do NOT Tumble Dry</v>
          </cell>
          <cell r="O10" t="str">
            <v>ÇOCUK POLAR HIRKA</v>
          </cell>
        </row>
        <row r="11">
          <cell r="B11" t="str">
            <v>ALLEGRA</v>
          </cell>
          <cell r="C11" t="str">
            <v>WOMEN'S FULL GRIP PRO LEGGINGS</v>
          </cell>
          <cell r="D11" t="str">
            <v>R.BOTWN_LGN</v>
          </cell>
          <cell r="E11" t="str">
            <v>RIDER</v>
          </cell>
          <cell r="F11" t="str">
            <v>WOMEN</v>
          </cell>
          <cell r="G11" t="str">
            <v>BOTTOMS</v>
          </cell>
          <cell r="H11" t="str">
            <v>WOMEN</v>
          </cell>
          <cell r="I11" t="str">
            <v>LEGGINGS</v>
          </cell>
          <cell r="J11" t="str">
            <v>LEGGINGS</v>
          </cell>
          <cell r="K11" t="str">
            <v>WOMEN'S FULL GRIP PRO LEGGINGS</v>
          </cell>
          <cell r="L11" t="str">
            <v>MADE IN ITALY WITH PREMIUM ITALIAN FABRICS
Professional leggings in lurex microfibre, perfect wearability for all day activities. Side pockets and full grip applied for the best comfort.</v>
          </cell>
          <cell r="M11" t="str">
            <v>*Italian Premium fabric
*Extra-soft and comfortable technical jersey
*4-way stretch fabric
*Breathable and Quick Dry
*Wrinkle-free and Easy Care
*Full Grip
Composition:
74% Micro PA /  26% Elasthane</v>
          </cell>
          <cell r="N11" t="str">
            <v>Machine Wash at 30°C
Mild process
Iron at low temperature
Iron from REVERSE
Do NOT iron on logos or prints
Do not bleach
Do NOT Tumble Dry</v>
          </cell>
          <cell r="O11" t="str">
            <v>KADIN FULL GRIP PRO BİNİCİ TAYTI</v>
          </cell>
        </row>
        <row r="12">
          <cell r="B12" t="str">
            <v>ALMEIRA</v>
          </cell>
          <cell r="C12"/>
          <cell r="D12" t="str">
            <v/>
          </cell>
          <cell r="E12"/>
          <cell r="F12"/>
          <cell r="G12"/>
          <cell r="H12"/>
          <cell r="I12"/>
          <cell r="J12">
            <v>0</v>
          </cell>
          <cell r="K12" t="str">
            <v/>
          </cell>
          <cell r="L12"/>
          <cell r="M12"/>
          <cell r="N12"/>
          <cell r="O12"/>
        </row>
        <row r="13">
          <cell r="B13" t="str">
            <v>AMALFI</v>
          </cell>
          <cell r="C13"/>
          <cell r="D13" t="str">
            <v/>
          </cell>
          <cell r="E13"/>
          <cell r="F13"/>
          <cell r="G13"/>
          <cell r="H13"/>
          <cell r="I13"/>
          <cell r="J13">
            <v>0</v>
          </cell>
          <cell r="K13" t="str">
            <v/>
          </cell>
          <cell r="L13"/>
          <cell r="M13"/>
          <cell r="N13"/>
          <cell r="O13"/>
        </row>
        <row r="14">
          <cell r="B14" t="str">
            <v>AMSTERDAM</v>
          </cell>
          <cell r="C14"/>
          <cell r="D14" t="str">
            <v/>
          </cell>
          <cell r="E14"/>
          <cell r="F14"/>
          <cell r="G14"/>
          <cell r="H14"/>
          <cell r="I14"/>
          <cell r="J14">
            <v>0</v>
          </cell>
          <cell r="K14" t="str">
            <v/>
          </cell>
          <cell r="L14"/>
          <cell r="M14"/>
          <cell r="N14"/>
          <cell r="O14"/>
        </row>
        <row r="15">
          <cell r="B15" t="str">
            <v>ANCONA</v>
          </cell>
          <cell r="C15"/>
          <cell r="D15" t="str">
            <v/>
          </cell>
          <cell r="E15"/>
          <cell r="F15"/>
          <cell r="G15"/>
          <cell r="H15"/>
          <cell r="I15"/>
          <cell r="J15">
            <v>0</v>
          </cell>
          <cell r="K15" t="str">
            <v/>
          </cell>
          <cell r="L15"/>
          <cell r="M15"/>
          <cell r="N15"/>
          <cell r="O15"/>
        </row>
        <row r="16">
          <cell r="B16" t="str">
            <v>ANDORRA</v>
          </cell>
          <cell r="C16"/>
          <cell r="D16" t="str">
            <v/>
          </cell>
          <cell r="E16"/>
          <cell r="F16"/>
          <cell r="G16"/>
          <cell r="H16"/>
          <cell r="I16"/>
          <cell r="J16">
            <v>0</v>
          </cell>
          <cell r="K16" t="str">
            <v/>
          </cell>
          <cell r="L16"/>
          <cell r="M16"/>
          <cell r="N16"/>
          <cell r="O16"/>
        </row>
        <row r="17">
          <cell r="B17" t="str">
            <v>ANGOLA</v>
          </cell>
          <cell r="C17"/>
          <cell r="D17" t="str">
            <v/>
          </cell>
          <cell r="E17"/>
          <cell r="F17"/>
          <cell r="G17"/>
          <cell r="H17"/>
          <cell r="I17"/>
          <cell r="J17">
            <v>0</v>
          </cell>
          <cell r="K17" t="str">
            <v/>
          </cell>
          <cell r="L17"/>
          <cell r="M17"/>
          <cell r="N17"/>
          <cell r="O17"/>
        </row>
        <row r="18">
          <cell r="B18" t="str">
            <v>AREZZO</v>
          </cell>
          <cell r="C18" t="str">
            <v>MEN'S PRO COMPETITION JACKET</v>
          </cell>
          <cell r="D18" t="str">
            <v>R.J&amp;TMN_CJK</v>
          </cell>
          <cell r="E18" t="str">
            <v>RIDER</v>
          </cell>
          <cell r="F18" t="str">
            <v>MEN</v>
          </cell>
          <cell r="G18" t="str">
            <v>JACKETS &amp; TAILCOATS</v>
          </cell>
          <cell r="H18" t="str">
            <v>MEN</v>
          </cell>
          <cell r="I18" t="str">
            <v>COMPETITION JACKETS</v>
          </cell>
          <cell r="J18" t="str">
            <v>COMPETITION JACKETS</v>
          </cell>
          <cell r="K18" t="str">
            <v>MEN'S PRO COMPETITION JACKET</v>
          </cell>
          <cell r="L18" t="str">
            <v>MADE IN ITALY WITH PREMIUM ITALIAN FABRICS
Professional Series Competition jacket with soft-shell microfibre that is waterproof, highly elastic and breathable technical jersey fabric. Machine washable</v>
          </cell>
          <cell r="M18" t="str">
            <v>*Italian Premium fabric
*Extra-soft and comfortable technical jersey
* 4-way stretch fabric
* Breathable and Quick Dry
* Wrinkle-free and Easy Care
Composition:
74% Micro PA /  26% Elasthane</v>
          </cell>
          <cell r="N18" t="str">
            <v>Machine Wash at 30°C
Mild process
Iron at low temperature
Iron from REVERSE
Do NOT iron on logos or prints
Do not bleach
Do NOT Tumble Dry</v>
          </cell>
          <cell r="O18" t="str">
            <v>ERKEK PRO YARIŞMA CEKETİ</v>
          </cell>
        </row>
        <row r="19">
          <cell r="B19" t="str">
            <v>AREZZO-TBF</v>
          </cell>
          <cell r="C19" t="str">
            <v>MEN'S PRO COMPETITION JACKET X TEAM TÜRKİYE</v>
          </cell>
          <cell r="D19" t="str">
            <v>R.J&amp;TMN_CJK</v>
          </cell>
          <cell r="E19" t="str">
            <v>RIDER</v>
          </cell>
          <cell r="F19" t="str">
            <v>MEN</v>
          </cell>
          <cell r="G19" t="str">
            <v>JACKETS &amp; TAILCOATS</v>
          </cell>
          <cell r="H19" t="str">
            <v>MEN</v>
          </cell>
          <cell r="I19" t="str">
            <v>COMPETITION JACKETS</v>
          </cell>
          <cell r="J19" t="str">
            <v>COMPETITION JACKETS</v>
          </cell>
          <cell r="K19" t="str">
            <v>MEN'S PRO COMPETITION JACKET X TEAM TÜRKİYE</v>
          </cell>
          <cell r="L19" t="str">
            <v>MADE IN ITALY WITH PREMIUM ITALIAN FABRICS
Professional Series Competition jacket with soft-shell microfibre that is waterproof, highly elastic and breathable technical jersey fabric. Machine washable</v>
          </cell>
          <cell r="M19" t="str">
            <v>*Italian Premium fabric
*Extra-soft and comfortable technical jersey
* 4-way stretch fabric
* Breathable and Quick Dry
* Wrinkle-free and Easy Care
Composition:
74% Micro PA /  26% Elasthane</v>
          </cell>
          <cell r="N19" t="str">
            <v>Machine Wash at 30°C
Mild process
Iron at low temperature
Iron from REVERSE
Do NOT iron on logos or prints
Do not bleach
Do NOT Tumble Dry</v>
          </cell>
          <cell r="O19" t="str">
            <v>ERKEK PRO YARIŞMA CEKETİ X TEAM TÜRKİYE</v>
          </cell>
        </row>
        <row r="20">
          <cell r="B20" t="str">
            <v>ARGENTINA</v>
          </cell>
          <cell r="C20"/>
          <cell r="D20" t="str">
            <v/>
          </cell>
          <cell r="E20"/>
          <cell r="F20"/>
          <cell r="G20"/>
          <cell r="H20"/>
          <cell r="I20"/>
          <cell r="J20">
            <v>0</v>
          </cell>
          <cell r="K20" t="str">
            <v/>
          </cell>
          <cell r="L20"/>
          <cell r="M20"/>
          <cell r="N20"/>
          <cell r="O20"/>
        </row>
        <row r="21">
          <cell r="B21" t="str">
            <v>ARIZONA</v>
          </cell>
          <cell r="C21"/>
          <cell r="D21" t="str">
            <v/>
          </cell>
          <cell r="E21"/>
          <cell r="F21"/>
          <cell r="G21"/>
          <cell r="H21"/>
          <cell r="I21"/>
          <cell r="J21">
            <v>0</v>
          </cell>
          <cell r="K21" t="str">
            <v/>
          </cell>
          <cell r="L21"/>
          <cell r="M21"/>
          <cell r="N21"/>
          <cell r="O21"/>
        </row>
        <row r="22">
          <cell r="B22" t="str">
            <v>ARKANSAS</v>
          </cell>
          <cell r="C22"/>
          <cell r="D22" t="str">
            <v/>
          </cell>
          <cell r="E22"/>
          <cell r="F22"/>
          <cell r="G22"/>
          <cell r="H22"/>
          <cell r="I22"/>
          <cell r="J22">
            <v>0</v>
          </cell>
          <cell r="K22" t="str">
            <v/>
          </cell>
          <cell r="L22"/>
          <cell r="M22"/>
          <cell r="N22"/>
          <cell r="O22"/>
        </row>
        <row r="23">
          <cell r="B23" t="str">
            <v>ASINARA</v>
          </cell>
          <cell r="C23"/>
          <cell r="D23" t="str">
            <v/>
          </cell>
          <cell r="E23"/>
          <cell r="F23"/>
          <cell r="G23"/>
          <cell r="H23"/>
          <cell r="I23"/>
          <cell r="J23">
            <v>0</v>
          </cell>
          <cell r="K23" t="str">
            <v/>
          </cell>
          <cell r="L23"/>
          <cell r="M23"/>
          <cell r="N23"/>
          <cell r="O23"/>
        </row>
        <row r="24">
          <cell r="B24" t="str">
            <v>ASPEN</v>
          </cell>
          <cell r="C24" t="str">
            <v>WOMEN'S LONG SLEEVE BASE LAYER QUARTER ZIP</v>
          </cell>
          <cell r="D24" t="str">
            <v>R.TOPWN_BLY</v>
          </cell>
          <cell r="E24" t="str">
            <v>RIDER</v>
          </cell>
          <cell r="F24" t="str">
            <v>WOMEN</v>
          </cell>
          <cell r="G24" t="str">
            <v>TOPS</v>
          </cell>
          <cell r="H24" t="str">
            <v>WOMEN</v>
          </cell>
          <cell r="I24" t="str">
            <v>BASE LAYERS</v>
          </cell>
          <cell r="J24" t="str">
            <v>BASE LAYERS</v>
          </cell>
          <cell r="K24" t="str">
            <v>WOMEN'S LONG SLEEVE BASE LAYER QUARTER ZIP</v>
          </cell>
          <cell r="L24" t="str">
            <v>ASPEN Quarter Zip Base Layer / Second Skin
Chic, comfortable and technical
These elegant base layers are designed to ride and train in style.
Available in many colors to match your horse's gear.</v>
          </cell>
          <cell r="M24" t="str">
            <v>*Extra-soft and comfortable technical jersey
* 4-way stretch fabric
* Breathable and Quick Dry
* Wrinkle-free and Easy Care
Composition:
90% Polyamide 10% Elasthane</v>
          </cell>
          <cell r="N24" t="str">
            <v>Machine Wash at 30°C
Mild process
Iron at low temperature
Iron from REVERSE
Do NOT iron on logos or prints
Do not bleach
Do NOT Tumble Dry</v>
          </cell>
          <cell r="O24" t="str">
            <v>KADIN UZUN KOL FERMUARLI T-SHIRT</v>
          </cell>
        </row>
        <row r="25">
          <cell r="B25" t="str">
            <v>ASPEN-STRASS</v>
          </cell>
          <cell r="C25" t="str">
            <v>WOMEN'S LONG SLEEVE BASE LAYER QUARTER ZIP WITH STRASS</v>
          </cell>
          <cell r="D25" t="str">
            <v>R.TOPWN_BLY</v>
          </cell>
          <cell r="E25" t="str">
            <v>RIDER</v>
          </cell>
          <cell r="F25" t="str">
            <v>WOMEN</v>
          </cell>
          <cell r="G25" t="str">
            <v>TOPS</v>
          </cell>
          <cell r="H25" t="str">
            <v>WOMEN</v>
          </cell>
          <cell r="I25" t="str">
            <v>BASE LAYERS</v>
          </cell>
          <cell r="J25" t="str">
            <v>BASE LAYERS</v>
          </cell>
          <cell r="K25" t="str">
            <v>WOMEN'S LONG SLEEVE BASE LAYER QUARTER ZIP WITH STRASS</v>
          </cell>
          <cell r="L25" t="str">
            <v>ASPEN Quarter Zip Base Layer / Second Skin
Your favorite base layers now come with a touch of Strass to elavate your elegance and shine.
Chic, comfortable and technical
These elegant base layers are designed to ride and train in style.
Available in many colors to match your horse's gear.</v>
          </cell>
          <cell r="M25" t="str">
            <v>*Extra-soft and comfortable technical jersey
* 4-way stretch fabric
* Breathable and Quick Dry
* Wrinkle-free and Easy Care
Composition:
90% Polyamide 10% Elasthane</v>
          </cell>
          <cell r="N25" t="str">
            <v>Machine Wash at 30°C
Mild process
Iron at low temperature
Iron from REVERSE
Do NOT iron on logos or prints
Do not bleach
Do NOT Tumble Dry</v>
          </cell>
          <cell r="O25" t="str">
            <v>STRASS TAŞ DETAYLI KADIN UZUN KOL FERMUARLI T-SHIRT</v>
          </cell>
        </row>
        <row r="26">
          <cell r="B26" t="str">
            <v>ASPEN-JR</v>
          </cell>
          <cell r="C26" t="str">
            <v>GIRL'S LONG SLEEVE BASE LAYER QUARTER ZIP</v>
          </cell>
          <cell r="D26" t="str">
            <v>R.TOPKG_BLY</v>
          </cell>
          <cell r="E26" t="str">
            <v>RIDER</v>
          </cell>
          <cell r="F26" t="str">
            <v>JUNIOR</v>
          </cell>
          <cell r="G26" t="str">
            <v>TOPS</v>
          </cell>
          <cell r="H26" t="str">
            <v>KIDS GIRL</v>
          </cell>
          <cell r="I26" t="str">
            <v>BASE LAYERS</v>
          </cell>
          <cell r="J26" t="str">
            <v>BASE LAYERS</v>
          </cell>
          <cell r="K26" t="str">
            <v>GIRL'S LONG SLEEVE BASE LAYER QUARTER ZIP</v>
          </cell>
          <cell r="L26" t="str">
            <v>ASPEN-JR Quarter Zip Base Layer / Second Skin
Chic, comfortable and technical
These elegant base layers are designed to ride and train in style.
Available in many colors to match your horse's gear.</v>
          </cell>
          <cell r="M26" t="str">
            <v>*Extra-soft and comfortable technical jersey
* 4-way stretch fabric
* Breathable and Quick Dry
* Wrinkle-free and Easy Care
Composition:
90% Polyamide 10% Elasthane</v>
          </cell>
          <cell r="N26" t="str">
            <v>Machine Wash at 30°C
Mild process
Iron at low temperature
Iron from REVERSE
Do NOT iron on logos or prints
Do not bleach
Do NOT Tumble Dry</v>
          </cell>
          <cell r="O26" t="str">
            <v>KIZ ÇOCUK UZUN KOL FERMUARLI T-SHIRT</v>
          </cell>
        </row>
        <row r="27">
          <cell r="B27" t="str">
            <v>ATLANTA</v>
          </cell>
          <cell r="C27" t="str">
            <v>MEN'S PUFFER VEST</v>
          </cell>
          <cell r="D27" t="str">
            <v>R.OTWMN_PUV</v>
          </cell>
          <cell r="E27" t="str">
            <v>RIDER</v>
          </cell>
          <cell r="F27" t="str">
            <v>MEN</v>
          </cell>
          <cell r="G27" t="str">
            <v>OUTERWEAR</v>
          </cell>
          <cell r="H27" t="str">
            <v>MEN</v>
          </cell>
          <cell r="I27" t="str">
            <v>PUFFER VESTS</v>
          </cell>
          <cell r="J27" t="str">
            <v>PUFFER VESTS</v>
          </cell>
          <cell r="K27" t="str">
            <v>MEN'S PUFFER VEST</v>
          </cell>
          <cell r="L27" t="str">
            <v>ATLANTA Riding Vest
Every rider's must have product in the wardrobe
Ideal for transition seasons</v>
          </cell>
          <cell r="M27" t="str">
            <v>*Super-light weight
Composition:
Shell fabric: 100% Nylon
Lining: 100% Nylon
Filling: 100% Polyester Non-woven</v>
          </cell>
          <cell r="N27" t="str">
            <v>Machine Wash gently at 30 C
Do not dry clean
Do not bleach
Do not iron
Hang dry</v>
          </cell>
          <cell r="O27" t="str">
            <v>ERKEK ŞİŞME YELEK</v>
          </cell>
        </row>
        <row r="28">
          <cell r="B28" t="str">
            <v>ATLANTIS</v>
          </cell>
          <cell r="C28" t="str">
            <v>KID'S UNISEX KNEE GRIP PRO BREECHES</v>
          </cell>
          <cell r="D28" t="str">
            <v>R.BOTKU_BRC</v>
          </cell>
          <cell r="E28" t="str">
            <v>RIDER</v>
          </cell>
          <cell r="F28" t="str">
            <v>JUNIOR</v>
          </cell>
          <cell r="G28" t="str">
            <v>BOTTOMS</v>
          </cell>
          <cell r="H28" t="str">
            <v>KIDS UNISEX</v>
          </cell>
          <cell r="I28" t="str">
            <v>BREECHES</v>
          </cell>
          <cell r="J28" t="str">
            <v>BREECHES</v>
          </cell>
          <cell r="K28" t="str">
            <v>KID'S UNISEX KNEE GRIP PRO BREECHES</v>
          </cell>
          <cell r="L28" t="str">
            <v>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ell>
          <cell r="M28" t="str">
            <v>*Italian Premium fabric
*Extra-soft and comfortable technical jersey
*4-way stretch fabric
*Breathable and Quick Dry
*Wrinkle-free and Easy Care
*Knee Grip
Composition:
74% Micro PA /  26% Elasthane</v>
          </cell>
          <cell r="N28" t="str">
            <v>Machine Wash at 30°C
Mild process
Iron at low temperature
Iron from REVERSE
Do NOT iron on logos or prints
Do not bleach
Do NOT Tumble Dry</v>
          </cell>
          <cell r="O28" t="str">
            <v>ÇOCUK UNISEX BİNİCİ PANTOLONU</v>
          </cell>
        </row>
        <row r="29">
          <cell r="B29" t="str">
            <v>ATLANTIS-W</v>
          </cell>
          <cell r="C29" t="str">
            <v>KID'S UNISEX KNEE GRIP PRO WINTER BREECHES</v>
          </cell>
          <cell r="D29" t="str">
            <v>R.BOTKU_BRC</v>
          </cell>
          <cell r="E29" t="str">
            <v>RIDER</v>
          </cell>
          <cell r="F29" t="str">
            <v>JUNIOR</v>
          </cell>
          <cell r="G29" t="str">
            <v>BOTTOMS</v>
          </cell>
          <cell r="H29" t="str">
            <v>KIDS UNISEX</v>
          </cell>
          <cell r="I29" t="str">
            <v>BREECHES</v>
          </cell>
          <cell r="J29" t="str">
            <v>BREECHES</v>
          </cell>
          <cell r="K29" t="str">
            <v>KID'S UNISEX KNEE GRIP PRO WINTER BREECHES</v>
          </cell>
          <cell r="L29" t="str">
            <v>MADE IN ITALY WITH PREMIUM ITALIAN FABRICS
Professional Series Winter Breeches with Bi-stretch microfibre, antibacterical, waterrepellent and breathable technical jersey fabric on the surface and a heat tech polar fabric on the inside to keep you warm during cold weather conditions and provide full movement whatever your discipline . Comfortable side pockets with edge and back pockets with flaps and button. Grip knees applied for the best comfort</v>
          </cell>
          <cell r="M29" t="str">
            <v>*Italian Premium fabric
*Extra-soft and comfortable technical jersey with heat tech polar fabric inside
*4-way stretch fabric
*Breathable and Quick Dry
*Wrinkle-free and Easy Care
*Knee Grip
Composition:
74% Micro PA /  26% Elasthane</v>
          </cell>
          <cell r="N29" t="str">
            <v>Machine Wash at 30°C
Mild process
Iron at low temperature
Iron from REVERSE
Do NOT iron on logos or prints
Do not bleach
Do NOT Tumble Dry</v>
          </cell>
          <cell r="O29" t="str">
            <v>KIŞLIK ÇOCUK UNISEX BİNİCİ PANTOLONU</v>
          </cell>
        </row>
        <row r="30">
          <cell r="B30" t="str">
            <v>AUGUSTA</v>
          </cell>
          <cell r="C30"/>
          <cell r="D30" t="str">
            <v/>
          </cell>
          <cell r="E30"/>
          <cell r="F30"/>
          <cell r="G30"/>
          <cell r="H30"/>
          <cell r="I30"/>
          <cell r="J30">
            <v>0</v>
          </cell>
          <cell r="K30" t="str">
            <v/>
          </cell>
          <cell r="L30"/>
          <cell r="M30"/>
          <cell r="N30"/>
          <cell r="O30"/>
        </row>
        <row r="31">
          <cell r="B31" t="str">
            <v>AUSTIN</v>
          </cell>
          <cell r="C31"/>
          <cell r="D31" t="str">
            <v/>
          </cell>
          <cell r="E31"/>
          <cell r="F31"/>
          <cell r="G31"/>
          <cell r="H31"/>
          <cell r="I31"/>
          <cell r="J31">
            <v>0</v>
          </cell>
          <cell r="K31" t="str">
            <v/>
          </cell>
          <cell r="L31"/>
          <cell r="M31"/>
          <cell r="N31"/>
          <cell r="O31"/>
        </row>
        <row r="32">
          <cell r="B32" t="str">
            <v>AUSTRALIA</v>
          </cell>
          <cell r="C32"/>
          <cell r="D32" t="str">
            <v/>
          </cell>
          <cell r="E32"/>
          <cell r="F32"/>
          <cell r="G32"/>
          <cell r="H32"/>
          <cell r="I32"/>
          <cell r="J32">
            <v>0</v>
          </cell>
          <cell r="K32" t="str">
            <v/>
          </cell>
          <cell r="L32"/>
          <cell r="M32"/>
          <cell r="N32"/>
          <cell r="O32"/>
        </row>
        <row r="33">
          <cell r="B33" t="str">
            <v>AUSTRIA</v>
          </cell>
          <cell r="C33"/>
          <cell r="D33" t="str">
            <v/>
          </cell>
          <cell r="E33"/>
          <cell r="F33"/>
          <cell r="G33"/>
          <cell r="H33"/>
          <cell r="I33"/>
          <cell r="J33">
            <v>0</v>
          </cell>
          <cell r="K33" t="str">
            <v/>
          </cell>
          <cell r="L33"/>
          <cell r="M33"/>
          <cell r="N33"/>
          <cell r="O33"/>
        </row>
        <row r="34">
          <cell r="B34" t="str">
            <v>BADMINTON</v>
          </cell>
          <cell r="C34"/>
          <cell r="D34" t="str">
            <v/>
          </cell>
          <cell r="E34"/>
          <cell r="F34"/>
          <cell r="G34"/>
          <cell r="H34"/>
          <cell r="I34"/>
          <cell r="J34">
            <v>0</v>
          </cell>
          <cell r="K34" t="str">
            <v/>
          </cell>
          <cell r="L34"/>
          <cell r="M34"/>
          <cell r="N34"/>
          <cell r="O34"/>
        </row>
        <row r="35">
          <cell r="B35" t="str">
            <v>BALI</v>
          </cell>
          <cell r="C35"/>
          <cell r="D35" t="str">
            <v/>
          </cell>
          <cell r="E35"/>
          <cell r="F35"/>
          <cell r="G35"/>
          <cell r="H35"/>
          <cell r="I35"/>
          <cell r="J35">
            <v>0</v>
          </cell>
          <cell r="K35" t="str">
            <v/>
          </cell>
          <cell r="L35"/>
          <cell r="M35"/>
          <cell r="N35"/>
          <cell r="O35"/>
        </row>
        <row r="36">
          <cell r="B36" t="str">
            <v>BALMORAL</v>
          </cell>
          <cell r="C36"/>
          <cell r="D36" t="str">
            <v/>
          </cell>
          <cell r="E36"/>
          <cell r="F36"/>
          <cell r="G36"/>
          <cell r="H36"/>
          <cell r="I36"/>
          <cell r="J36">
            <v>0</v>
          </cell>
          <cell r="K36" t="str">
            <v/>
          </cell>
          <cell r="L36"/>
          <cell r="M36"/>
          <cell r="N36"/>
          <cell r="O36"/>
        </row>
        <row r="37">
          <cell r="B37" t="str">
            <v>BALTIMORE</v>
          </cell>
          <cell r="C37"/>
          <cell r="D37" t="str">
            <v/>
          </cell>
          <cell r="E37"/>
          <cell r="F37"/>
          <cell r="G37"/>
          <cell r="H37"/>
          <cell r="I37"/>
          <cell r="J37">
            <v>0</v>
          </cell>
          <cell r="K37" t="str">
            <v/>
          </cell>
          <cell r="L37"/>
          <cell r="M37"/>
          <cell r="N37"/>
          <cell r="O37"/>
        </row>
        <row r="38">
          <cell r="B38" t="str">
            <v>BANDANA</v>
          </cell>
          <cell r="C38" t="str">
            <v>HEADBAND</v>
          </cell>
          <cell r="D38" t="str">
            <v>A.RACWN_HRB</v>
          </cell>
          <cell r="E38" t="str">
            <v>ACCESSORIES</v>
          </cell>
          <cell r="F38" t="str">
            <v>ACCESSORIES</v>
          </cell>
          <cell r="G38" t="str">
            <v>RIDER ACCESSORIES</v>
          </cell>
          <cell r="H38" t="str">
            <v>WOMEN</v>
          </cell>
          <cell r="I38" t="str">
            <v>HAIR BANDS</v>
          </cell>
          <cell r="J38"/>
          <cell r="K38" t="str">
            <v>HEADBAND</v>
          </cell>
          <cell r="L38" t="str">
            <v>The BANDANA headband is designed for riders. Simple, yet effective…
It will keep your hair in order and thanks to its light polar inside lining, it will keep you also warm. Suitable for wearing under helmets.</v>
          </cell>
          <cell r="M38" t="str">
            <v>100% Technical Polyestre
Light polar lining on the inside</v>
          </cell>
          <cell r="N38" t="str">
            <v>Machine wash warm
Do not tumble dry</v>
          </cell>
          <cell r="O38" t="str">
            <v>BANDANA</v>
          </cell>
        </row>
        <row r="39">
          <cell r="B39" t="str">
            <v>BARBADOS</v>
          </cell>
          <cell r="C39"/>
          <cell r="D39" t="str">
            <v/>
          </cell>
          <cell r="E39"/>
          <cell r="F39"/>
          <cell r="G39"/>
          <cell r="H39"/>
          <cell r="I39"/>
          <cell r="J39">
            <v>0</v>
          </cell>
          <cell r="K39" t="str">
            <v/>
          </cell>
          <cell r="L39"/>
          <cell r="M39"/>
          <cell r="N39"/>
          <cell r="O39"/>
        </row>
        <row r="40">
          <cell r="B40" t="str">
            <v>BARCELONA</v>
          </cell>
          <cell r="C40"/>
          <cell r="D40" t="str">
            <v/>
          </cell>
          <cell r="E40"/>
          <cell r="F40"/>
          <cell r="G40"/>
          <cell r="H40"/>
          <cell r="I40"/>
          <cell r="J40">
            <v>0</v>
          </cell>
          <cell r="K40" t="str">
            <v/>
          </cell>
          <cell r="L40"/>
          <cell r="M40"/>
          <cell r="N40"/>
          <cell r="O40"/>
        </row>
        <row r="41">
          <cell r="B41" t="str">
            <v>BARI</v>
          </cell>
          <cell r="C41"/>
          <cell r="D41" t="str">
            <v/>
          </cell>
          <cell r="E41"/>
          <cell r="F41"/>
          <cell r="G41"/>
          <cell r="H41"/>
          <cell r="I41"/>
          <cell r="J41">
            <v>0</v>
          </cell>
          <cell r="K41" t="str">
            <v/>
          </cell>
          <cell r="L41"/>
          <cell r="M41"/>
          <cell r="N41"/>
          <cell r="O41"/>
        </row>
        <row r="42">
          <cell r="B42" t="str">
            <v>BASEL</v>
          </cell>
          <cell r="C42"/>
          <cell r="D42" t="str">
            <v/>
          </cell>
          <cell r="E42"/>
          <cell r="F42"/>
          <cell r="G42"/>
          <cell r="H42"/>
          <cell r="I42"/>
          <cell r="J42">
            <v>0</v>
          </cell>
          <cell r="K42" t="str">
            <v/>
          </cell>
          <cell r="L42"/>
          <cell r="M42"/>
          <cell r="N42"/>
          <cell r="O42"/>
        </row>
        <row r="43">
          <cell r="B43" t="str">
            <v>BELFAST</v>
          </cell>
          <cell r="C43"/>
          <cell r="D43" t="str">
            <v/>
          </cell>
          <cell r="E43"/>
          <cell r="F43"/>
          <cell r="G43"/>
          <cell r="H43"/>
          <cell r="I43"/>
          <cell r="J43">
            <v>0</v>
          </cell>
          <cell r="K43" t="str">
            <v/>
          </cell>
          <cell r="L43"/>
          <cell r="M43"/>
          <cell r="N43"/>
          <cell r="O43"/>
        </row>
        <row r="44">
          <cell r="B44" t="str">
            <v>BELGRADE</v>
          </cell>
          <cell r="C44"/>
          <cell r="D44" t="str">
            <v/>
          </cell>
          <cell r="E44"/>
          <cell r="F44"/>
          <cell r="G44"/>
          <cell r="H44"/>
          <cell r="I44"/>
          <cell r="J44">
            <v>0</v>
          </cell>
          <cell r="K44" t="str">
            <v/>
          </cell>
          <cell r="L44"/>
          <cell r="M44"/>
          <cell r="N44"/>
          <cell r="O44"/>
        </row>
        <row r="45">
          <cell r="B45" t="str">
            <v>BELIZE</v>
          </cell>
          <cell r="C45"/>
          <cell r="D45" t="str">
            <v/>
          </cell>
          <cell r="E45"/>
          <cell r="F45"/>
          <cell r="G45"/>
          <cell r="H45"/>
          <cell r="I45"/>
          <cell r="J45">
            <v>0</v>
          </cell>
          <cell r="K45" t="str">
            <v/>
          </cell>
          <cell r="L45"/>
          <cell r="M45"/>
          <cell r="N45"/>
          <cell r="O45"/>
        </row>
        <row r="46">
          <cell r="B46" t="str">
            <v>BELLA</v>
          </cell>
          <cell r="C46" t="str">
            <v>WOMEN'S TECH T-SHIRT</v>
          </cell>
          <cell r="D46" t="str">
            <v>R.TOPWN_TTS</v>
          </cell>
          <cell r="E46" t="str">
            <v>RIDER</v>
          </cell>
          <cell r="F46" t="str">
            <v>WOMEN</v>
          </cell>
          <cell r="G46" t="str">
            <v>TOPS</v>
          </cell>
          <cell r="H46" t="str">
            <v>WOMEN</v>
          </cell>
          <cell r="I46" t="str">
            <v>TECH T-SHIRTS</v>
          </cell>
          <cell r="J46" t="str">
            <v>TECH T-SHIRTS</v>
          </cell>
          <cell r="K46" t="str">
            <v>WOMEN'S TECH T-SHIRT</v>
          </cell>
          <cell r="L46" t="str">
            <v xml:space="preserve">Women's Short Sleeve Technical T-shirt
One of our staff's favorites!
These tech t-shirts are very chic and so comfortable to wear </v>
          </cell>
          <cell r="M46" t="str">
            <v>*Extra-soft and comfortable technical jersey
* 4-way stretch fabric
* Breathable and Quick Dry
* Wrinkle-free and Easy Care
Composition:
95% Polyamide 5% Elasthane</v>
          </cell>
          <cell r="N46" t="str">
            <v>Machine Wash at 30°C
Mild process
Iron at low temperature
Iron from REVERSE
Do NOT iron on logos or prints
Do not bleach
Do NOT Tumble Dry</v>
          </cell>
          <cell r="O46" t="str">
            <v>KADIN TECH T-SHIRT</v>
          </cell>
        </row>
        <row r="47">
          <cell r="B47" t="str">
            <v>BELLEVILLE</v>
          </cell>
          <cell r="C47"/>
          <cell r="D47" t="str">
            <v/>
          </cell>
          <cell r="E47"/>
          <cell r="F47"/>
          <cell r="G47"/>
          <cell r="H47"/>
          <cell r="I47"/>
          <cell r="J47">
            <v>0</v>
          </cell>
          <cell r="K47" t="str">
            <v/>
          </cell>
          <cell r="L47"/>
          <cell r="M47"/>
          <cell r="N47"/>
          <cell r="O47"/>
        </row>
        <row r="48">
          <cell r="B48" t="str">
            <v>BENIN</v>
          </cell>
          <cell r="C48"/>
          <cell r="D48" t="str">
            <v/>
          </cell>
          <cell r="E48"/>
          <cell r="F48"/>
          <cell r="G48"/>
          <cell r="H48"/>
          <cell r="I48"/>
          <cell r="J48">
            <v>0</v>
          </cell>
          <cell r="K48" t="str">
            <v/>
          </cell>
          <cell r="L48"/>
          <cell r="M48"/>
          <cell r="N48"/>
          <cell r="O48"/>
        </row>
        <row r="49">
          <cell r="B49" t="str">
            <v>BERGAMO</v>
          </cell>
          <cell r="C49"/>
          <cell r="D49" t="str">
            <v/>
          </cell>
          <cell r="E49"/>
          <cell r="F49"/>
          <cell r="G49"/>
          <cell r="H49"/>
          <cell r="I49"/>
          <cell r="J49">
            <v>0</v>
          </cell>
          <cell r="K49" t="str">
            <v/>
          </cell>
          <cell r="L49"/>
          <cell r="M49"/>
          <cell r="N49"/>
          <cell r="O49"/>
        </row>
        <row r="50">
          <cell r="B50" t="str">
            <v>BERLIN</v>
          </cell>
          <cell r="C50"/>
          <cell r="D50" t="str">
            <v/>
          </cell>
          <cell r="E50"/>
          <cell r="F50"/>
          <cell r="G50"/>
          <cell r="H50"/>
          <cell r="I50"/>
          <cell r="J50">
            <v>0</v>
          </cell>
          <cell r="K50" t="str">
            <v/>
          </cell>
          <cell r="L50"/>
          <cell r="M50"/>
          <cell r="N50"/>
          <cell r="O50"/>
        </row>
        <row r="51">
          <cell r="B51" t="str">
            <v>BERN</v>
          </cell>
          <cell r="C51"/>
          <cell r="D51" t="str">
            <v/>
          </cell>
          <cell r="E51"/>
          <cell r="F51"/>
          <cell r="G51"/>
          <cell r="H51"/>
          <cell r="I51"/>
          <cell r="J51">
            <v>0</v>
          </cell>
          <cell r="K51" t="str">
            <v/>
          </cell>
          <cell r="L51"/>
          <cell r="M51"/>
          <cell r="N51"/>
          <cell r="O51"/>
        </row>
        <row r="52">
          <cell r="B52" t="str">
            <v>BILBAO</v>
          </cell>
          <cell r="C52"/>
          <cell r="D52" t="str">
            <v/>
          </cell>
          <cell r="E52"/>
          <cell r="F52"/>
          <cell r="G52"/>
          <cell r="H52"/>
          <cell r="I52"/>
          <cell r="J52">
            <v>0</v>
          </cell>
          <cell r="K52" t="str">
            <v/>
          </cell>
          <cell r="L52"/>
          <cell r="M52"/>
          <cell r="N52"/>
          <cell r="O52"/>
        </row>
        <row r="53">
          <cell r="B53" t="str">
            <v>BIRMINGHAM</v>
          </cell>
          <cell r="C53"/>
          <cell r="D53" t="str">
            <v/>
          </cell>
          <cell r="E53"/>
          <cell r="F53"/>
          <cell r="G53"/>
          <cell r="H53"/>
          <cell r="I53"/>
          <cell r="J53">
            <v>0</v>
          </cell>
          <cell r="K53" t="str">
            <v/>
          </cell>
          <cell r="L53"/>
          <cell r="M53"/>
          <cell r="N53"/>
          <cell r="O53"/>
        </row>
        <row r="54">
          <cell r="B54" t="str">
            <v>BOGOTA</v>
          </cell>
          <cell r="C54"/>
          <cell r="D54" t="str">
            <v/>
          </cell>
          <cell r="E54"/>
          <cell r="F54"/>
          <cell r="G54"/>
          <cell r="H54"/>
          <cell r="I54"/>
          <cell r="J54">
            <v>0</v>
          </cell>
          <cell r="K54" t="str">
            <v/>
          </cell>
          <cell r="L54"/>
          <cell r="M54"/>
          <cell r="N54"/>
          <cell r="O54"/>
        </row>
        <row r="55">
          <cell r="B55" t="str">
            <v>BOLOGNA</v>
          </cell>
          <cell r="C55"/>
          <cell r="D55" t="str">
            <v/>
          </cell>
          <cell r="E55"/>
          <cell r="F55"/>
          <cell r="G55"/>
          <cell r="H55"/>
          <cell r="I55"/>
          <cell r="J55">
            <v>0</v>
          </cell>
          <cell r="K55" t="str">
            <v/>
          </cell>
          <cell r="L55"/>
          <cell r="M55"/>
          <cell r="N55"/>
          <cell r="O55"/>
        </row>
        <row r="56">
          <cell r="B56" t="str">
            <v>BOLZANO</v>
          </cell>
          <cell r="C56"/>
          <cell r="D56" t="str">
            <v/>
          </cell>
          <cell r="E56"/>
          <cell r="F56"/>
          <cell r="G56"/>
          <cell r="H56"/>
          <cell r="I56"/>
          <cell r="J56">
            <v>0</v>
          </cell>
          <cell r="K56" t="str">
            <v/>
          </cell>
          <cell r="L56"/>
          <cell r="M56"/>
          <cell r="N56"/>
          <cell r="O56"/>
        </row>
        <row r="57">
          <cell r="B57" t="str">
            <v>BOSTON</v>
          </cell>
          <cell r="C57"/>
          <cell r="D57" t="str">
            <v/>
          </cell>
          <cell r="E57"/>
          <cell r="F57"/>
          <cell r="G57"/>
          <cell r="H57"/>
          <cell r="I57"/>
          <cell r="J57">
            <v>0</v>
          </cell>
          <cell r="K57" t="str">
            <v/>
          </cell>
          <cell r="L57"/>
          <cell r="M57"/>
          <cell r="N57"/>
          <cell r="O57"/>
        </row>
        <row r="58">
          <cell r="B58" t="str">
            <v>BRADFORD</v>
          </cell>
          <cell r="C58"/>
          <cell r="D58" t="str">
            <v/>
          </cell>
          <cell r="E58"/>
          <cell r="F58"/>
          <cell r="G58"/>
          <cell r="H58"/>
          <cell r="I58"/>
          <cell r="J58">
            <v>0</v>
          </cell>
          <cell r="K58" t="str">
            <v/>
          </cell>
          <cell r="L58"/>
          <cell r="M58"/>
          <cell r="N58"/>
          <cell r="O58"/>
        </row>
        <row r="59">
          <cell r="B59" t="str">
            <v>BRESCIA</v>
          </cell>
          <cell r="C59"/>
          <cell r="D59" t="str">
            <v/>
          </cell>
          <cell r="E59"/>
          <cell r="F59"/>
          <cell r="G59"/>
          <cell r="H59"/>
          <cell r="I59"/>
          <cell r="J59">
            <v>0</v>
          </cell>
          <cell r="K59" t="str">
            <v/>
          </cell>
          <cell r="L59"/>
          <cell r="M59"/>
          <cell r="N59"/>
          <cell r="O59"/>
        </row>
        <row r="60">
          <cell r="B60" t="str">
            <v>BRIGHTON</v>
          </cell>
          <cell r="C60"/>
          <cell r="D60" t="str">
            <v/>
          </cell>
          <cell r="E60"/>
          <cell r="F60"/>
          <cell r="G60"/>
          <cell r="H60"/>
          <cell r="I60"/>
          <cell r="J60">
            <v>0</v>
          </cell>
          <cell r="K60" t="str">
            <v/>
          </cell>
          <cell r="L60"/>
          <cell r="M60"/>
          <cell r="N60"/>
          <cell r="O60"/>
        </row>
        <row r="61">
          <cell r="B61" t="str">
            <v>BRISTOL</v>
          </cell>
          <cell r="C61"/>
          <cell r="D61" t="str">
            <v/>
          </cell>
          <cell r="E61"/>
          <cell r="F61"/>
          <cell r="G61"/>
          <cell r="H61"/>
          <cell r="I61"/>
          <cell r="J61">
            <v>0</v>
          </cell>
          <cell r="K61" t="str">
            <v/>
          </cell>
          <cell r="L61"/>
          <cell r="M61"/>
          <cell r="N61"/>
          <cell r="O61"/>
        </row>
        <row r="62">
          <cell r="B62" t="str">
            <v>BRUGES</v>
          </cell>
          <cell r="C62"/>
          <cell r="D62" t="str">
            <v/>
          </cell>
          <cell r="E62"/>
          <cell r="F62"/>
          <cell r="G62"/>
          <cell r="H62"/>
          <cell r="I62"/>
          <cell r="J62">
            <v>0</v>
          </cell>
          <cell r="K62" t="str">
            <v/>
          </cell>
          <cell r="L62"/>
          <cell r="M62"/>
          <cell r="N62"/>
          <cell r="O62"/>
        </row>
        <row r="63">
          <cell r="B63" t="str">
            <v>BUCHAREST</v>
          </cell>
          <cell r="C63"/>
          <cell r="D63" t="str">
            <v/>
          </cell>
          <cell r="E63"/>
          <cell r="F63"/>
          <cell r="G63"/>
          <cell r="H63"/>
          <cell r="I63"/>
          <cell r="J63">
            <v>0</v>
          </cell>
          <cell r="K63" t="str">
            <v/>
          </cell>
          <cell r="L63"/>
          <cell r="M63"/>
          <cell r="N63"/>
          <cell r="O63"/>
        </row>
        <row r="64">
          <cell r="B64" t="str">
            <v>BUDAPEST</v>
          </cell>
          <cell r="C64"/>
          <cell r="D64" t="str">
            <v/>
          </cell>
          <cell r="E64"/>
          <cell r="F64"/>
          <cell r="G64"/>
          <cell r="H64"/>
          <cell r="I64"/>
          <cell r="J64">
            <v>0</v>
          </cell>
          <cell r="K64" t="str">
            <v/>
          </cell>
          <cell r="L64"/>
          <cell r="M64"/>
          <cell r="N64"/>
          <cell r="O64"/>
        </row>
        <row r="65">
          <cell r="B65" t="str">
            <v>BUENOS AIRES</v>
          </cell>
          <cell r="C65"/>
          <cell r="D65" t="str">
            <v/>
          </cell>
          <cell r="E65"/>
          <cell r="F65"/>
          <cell r="G65"/>
          <cell r="H65"/>
          <cell r="I65"/>
          <cell r="J65">
            <v>0</v>
          </cell>
          <cell r="K65" t="str">
            <v/>
          </cell>
          <cell r="L65"/>
          <cell r="M65"/>
          <cell r="N65"/>
          <cell r="O65"/>
        </row>
        <row r="66">
          <cell r="B66" t="str">
            <v>BURANO</v>
          </cell>
          <cell r="C66"/>
          <cell r="D66" t="str">
            <v/>
          </cell>
          <cell r="E66"/>
          <cell r="F66"/>
          <cell r="G66"/>
          <cell r="H66"/>
          <cell r="I66"/>
          <cell r="J66">
            <v>0</v>
          </cell>
          <cell r="K66" t="str">
            <v/>
          </cell>
          <cell r="L66"/>
          <cell r="M66"/>
          <cell r="N66"/>
          <cell r="O66"/>
        </row>
        <row r="67">
          <cell r="B67" t="str">
            <v>CALIFORNIA</v>
          </cell>
          <cell r="C67"/>
          <cell r="D67" t="str">
            <v/>
          </cell>
          <cell r="E67"/>
          <cell r="F67"/>
          <cell r="G67"/>
          <cell r="H67"/>
          <cell r="I67"/>
          <cell r="J67">
            <v>0</v>
          </cell>
          <cell r="K67" t="str">
            <v/>
          </cell>
          <cell r="L67"/>
          <cell r="M67"/>
          <cell r="N67"/>
          <cell r="O67"/>
        </row>
        <row r="68">
          <cell r="B68" t="str">
            <v>CAMBRIDGE</v>
          </cell>
          <cell r="C68" t="str">
            <v>COMPETITION TIE</v>
          </cell>
          <cell r="D68" t="str">
            <v>A.RACMN_TIE</v>
          </cell>
          <cell r="E68" t="str">
            <v>ACCESSORIES</v>
          </cell>
          <cell r="F68" t="str">
            <v>ACCESSORIES</v>
          </cell>
          <cell r="G68" t="str">
            <v>RIDER ACCESSORIES</v>
          </cell>
          <cell r="H68" t="str">
            <v>MEN</v>
          </cell>
          <cell r="I68" t="str">
            <v>COMPETITION TIES</v>
          </cell>
          <cell r="J68" t="str">
            <v>COMPETITION TIES</v>
          </cell>
          <cell r="K68" t="str">
            <v>COMPETITION TIE</v>
          </cell>
          <cell r="L68" t="str">
            <v>Textured woven competition tie with jacquard logo</v>
          </cell>
          <cell r="M68" t="str">
            <v>Composition:
100% Polyester</v>
          </cell>
          <cell r="N68" t="str">
            <v>Hand Wash at 30°C degrees
Dry Cleaning
Mild iron</v>
          </cell>
          <cell r="O68" t="str">
            <v>YARIŞMA KRAVATI</v>
          </cell>
        </row>
        <row r="69">
          <cell r="B69" t="str">
            <v>CANADA</v>
          </cell>
          <cell r="C69" t="str">
            <v>WOMEN'S PUFFER VEST</v>
          </cell>
          <cell r="D69" t="str">
            <v>R.OTWWN_PUV</v>
          </cell>
          <cell r="E69" t="str">
            <v>RIDER</v>
          </cell>
          <cell r="F69" t="str">
            <v>WOMEN</v>
          </cell>
          <cell r="G69" t="str">
            <v>OUTERWEAR</v>
          </cell>
          <cell r="H69" t="str">
            <v>WOMEN</v>
          </cell>
          <cell r="I69" t="str">
            <v>PUFFER VESTS</v>
          </cell>
          <cell r="J69" t="str">
            <v>PUFFER VESTS</v>
          </cell>
          <cell r="K69" t="str">
            <v>WOMEN'S PUFFER VEST</v>
          </cell>
          <cell r="L69" t="str">
            <v>CANADA Riding Vest
Every rider's must have product
Ideal for transition seasons</v>
          </cell>
          <cell r="M69" t="str">
            <v>*Super-light weight
*Tailored fit for women
Composition:
Shell fabric: 100% Nylon
Lining: 100% Nylon
Filling: 100% Polyester Non-woven</v>
          </cell>
          <cell r="N69" t="str">
            <v>Machine Wash gently at 30 C
Do not dry clean
Do not bleach
Do not iron
Hang dry</v>
          </cell>
          <cell r="O69" t="str">
            <v>KADIN ŞİŞME YELEK</v>
          </cell>
        </row>
        <row r="70">
          <cell r="B70" t="str">
            <v>CANBERRA</v>
          </cell>
          <cell r="C70"/>
          <cell r="D70" t="str">
            <v/>
          </cell>
          <cell r="E70"/>
          <cell r="F70"/>
          <cell r="G70"/>
          <cell r="H70"/>
          <cell r="I70"/>
          <cell r="J70">
            <v>0</v>
          </cell>
          <cell r="K70" t="str">
            <v/>
          </cell>
          <cell r="L70"/>
          <cell r="M70"/>
          <cell r="N70"/>
          <cell r="O70"/>
        </row>
        <row r="71">
          <cell r="B71" t="str">
            <v>CANNES</v>
          </cell>
          <cell r="C71" t="str">
            <v>WOMEN'S SOFT TRAINING POLO</v>
          </cell>
          <cell r="D71" t="str">
            <v>R.TOPWN_SPL</v>
          </cell>
          <cell r="E71" t="str">
            <v>RIDER</v>
          </cell>
          <cell r="F71" t="str">
            <v>WOMEN</v>
          </cell>
          <cell r="G71" t="str">
            <v>TOPS</v>
          </cell>
          <cell r="H71" t="str">
            <v>WOMEN</v>
          </cell>
          <cell r="I71" t="str">
            <v>SOFT POLOS</v>
          </cell>
          <cell r="J71" t="str">
            <v>SOFT POLO SHORT SLEEVE</v>
          </cell>
          <cell r="K71" t="str">
            <v>WOMEN'S SOFT TRAINING POLO</v>
          </cell>
          <cell r="L71" t="str">
            <v>Women's Short Sleeve Soft Training Polo
Thanks to its soft and natural fiber fabric our soft polos are ideal for daily training</v>
          </cell>
          <cell r="M71" t="str">
            <v>Bi-color Piquet Fabric
Embroidery dressing
Composition:
100% Cotton</v>
          </cell>
          <cell r="N71" t="str">
            <v>Machine Wash at 30°C
Mild process
Iron at low temperature
Iron from REVERSE
Do NOT iron on logos or prints
Do not bleach
Do NOT Tumble Dry</v>
          </cell>
          <cell r="O71" t="str">
            <v>KADIN SOFT ANTRENMAN POLO</v>
          </cell>
        </row>
        <row r="72">
          <cell r="B72" t="str">
            <v>CAPE TOWN</v>
          </cell>
          <cell r="C72" t="str">
            <v>BASEBALL CAP</v>
          </cell>
          <cell r="D72" t="str">
            <v>A.RACAU_CAP</v>
          </cell>
          <cell r="E72" t="str">
            <v>ACCESSORIES</v>
          </cell>
          <cell r="F72" t="str">
            <v>ACCESSORIES</v>
          </cell>
          <cell r="G72" t="str">
            <v>RIDER ACCESSORIES</v>
          </cell>
          <cell r="H72" t="str">
            <v>ADULTS UNISEX</v>
          </cell>
          <cell r="I72" t="str">
            <v>CAPS</v>
          </cell>
          <cell r="J72" t="str">
            <v>CAPS</v>
          </cell>
          <cell r="K72" t="str">
            <v>BASEBALL CAP</v>
          </cell>
          <cell r="L72" t="str">
            <v>Embroidery Logo Baseball Cap</v>
          </cell>
          <cell r="M72" t="str">
            <v>Composition:
100% Cotton</v>
          </cell>
          <cell r="N72" t="str">
            <v>Machine wash 40 C
Do not iron
Do not bleach</v>
          </cell>
          <cell r="O72" t="str">
            <v>KEP ŞAPKA</v>
          </cell>
        </row>
        <row r="73">
          <cell r="B73" t="str">
            <v>CAPPA</v>
          </cell>
          <cell r="C73" t="str">
            <v>TECH EAR BONNET</v>
          </cell>
          <cell r="D73" t="str">
            <v>H.FLYFL_EAR</v>
          </cell>
          <cell r="E73" t="str">
            <v>HORSE</v>
          </cell>
          <cell r="F73" t="str">
            <v>HORSE</v>
          </cell>
          <cell r="G73" t="str">
            <v>FLY PROTECTION</v>
          </cell>
          <cell r="H73" t="str">
            <v>FULL</v>
          </cell>
          <cell r="I73" t="str">
            <v>EAR BONNETS / FLY VEILS</v>
          </cell>
          <cell r="J73" t="str">
            <v>EAR BONNETS / FLY VEILS</v>
          </cell>
          <cell r="K73" t="str">
            <v>TECH EAR BONNET</v>
          </cell>
          <cell r="L73" t="str">
            <v>Elegant and flexible ear bonnet made with Italian technical jersey.
Cavalier SanMarco Tech Earbonnets can be matched with our Tech Series products; Tech Saddlepads, Breeches, Leggings and Show Jackets.</v>
          </cell>
          <cell r="M73" t="str">
            <v>*Italian Premium fabric
*Easy fit
*Extra-soft and comfortable technical jersey
*4-way stretch fabric
*Breathable and Quick Dry
*Wrinkle-free and Easy Care
Composition:
74% Micro PA /  26% Elasthane</v>
          </cell>
          <cell r="N73" t="str">
            <v>Machine Wash at 30°C
Mild process
Iron at low temperature
Iron from REVERSE
Do NOT iron on logos or prints
Do not bleach
Do NOT Tumble Dry</v>
          </cell>
          <cell r="O73" t="str">
            <v>TECH SERİSİ KULAKLIK</v>
          </cell>
        </row>
        <row r="74">
          <cell r="B74" t="str">
            <v>CAPPA-P</v>
          </cell>
          <cell r="C74" t="str">
            <v>TECH EAR BONNET</v>
          </cell>
          <cell r="D74" t="str">
            <v>H.FLYPN_EAR</v>
          </cell>
          <cell r="E74" t="str">
            <v>HORSE</v>
          </cell>
          <cell r="F74" t="str">
            <v>PONY</v>
          </cell>
          <cell r="G74" t="str">
            <v>FLY PROTECTION</v>
          </cell>
          <cell r="H74" t="str">
            <v>PONY</v>
          </cell>
          <cell r="I74" t="str">
            <v>EAR BONNETS / FLY VEILS</v>
          </cell>
          <cell r="J74" t="str">
            <v>EAR BONNETS / FLY VEILS</v>
          </cell>
          <cell r="K74" t="str">
            <v>PONY - TECH EAR BONNET</v>
          </cell>
          <cell r="L74" t="str">
            <v>Elegant and flexible Pony ear bonnet made with Italian technical jersey.
Cavalier SanMarco Tech Earbonnets can be matched with our Tech Series products; Tech Saddlepads, Breeches, Leggings and Show Jackets.</v>
          </cell>
          <cell r="M74" t="str">
            <v>*Italian Premium fabric
*Easy fit
*Extra-soft and comfortable technical jersey
*4-way stretch fabric
*Breathable and Quick Dry
*Wrinkle-free and Easy Care
Composition:
74% Micro PA /  26% Elasthane</v>
          </cell>
          <cell r="N74" t="str">
            <v>Machine Wash at 30°C
Mild process
Iron at low temperature
Iron from REVERSE
Do NOT iron on logos or prints
Do not bleach
Do NOT Tumble Dry</v>
          </cell>
          <cell r="O74" t="str">
            <v>TECH SERİSİ PONY KULAKLIK</v>
          </cell>
        </row>
        <row r="75">
          <cell r="B75" t="str">
            <v>CAPRI-3XB</v>
          </cell>
          <cell r="C75" t="str">
            <v>SUMMER RIDING SOCKS 
3 PACK BUNDLE</v>
          </cell>
          <cell r="D75" t="str">
            <v>A.RACAU_SOC</v>
          </cell>
          <cell r="E75" t="str">
            <v>ACCESSORIES</v>
          </cell>
          <cell r="F75" t="str">
            <v>ACCESSORIES</v>
          </cell>
          <cell r="G75" t="str">
            <v>RIDER ACCESSORIES</v>
          </cell>
          <cell r="H75" t="str">
            <v>ADULTS UNISEX</v>
          </cell>
          <cell r="I75" t="str">
            <v>RIDING SOCKS</v>
          </cell>
          <cell r="J75" t="str">
            <v>RIDING SOCKS</v>
          </cell>
          <cell r="K75" t="str">
            <v>SUMMER RIDING SOCKS 
3 PACK BUNDLE</v>
          </cell>
          <cell r="L75" t="str">
            <v xml:space="preserve">CAPRI 3 PACK BUNDLE
AIRFLOW  SUMMER SOCKS 
Specially designed for riders    
SMART FIT - (Sizes 35 to 45)    
UNISEX    
SUPER LIGHT    
BREATHABLE  
</v>
          </cell>
          <cell r="M75" t="str">
            <v xml:space="preserve">50% Cotton, 45% Nylon, 5% Elasthane
Technical Features:    
Fine Cotton bottom for comfort and humidity control    
Maximum breathability with CSM Airflow Technology     
Super light microfiber leg layer for cool feeling            
</v>
          </cell>
          <cell r="N75" t="str">
            <v xml:space="preserve">For best use we recommend hand-wash    
or Machine wash at 30C with hand-wash setting    
DO NOT TUMBLE DRY  </v>
          </cell>
          <cell r="O75" t="str">
            <v>YAZLIK BİNİCİ ÇORABI
3'LÜ PAKET</v>
          </cell>
        </row>
        <row r="76">
          <cell r="B76" t="str">
            <v>CARACAS</v>
          </cell>
          <cell r="C76"/>
          <cell r="D76" t="str">
            <v/>
          </cell>
          <cell r="E76"/>
          <cell r="F76"/>
          <cell r="G76"/>
          <cell r="H76"/>
          <cell r="I76"/>
          <cell r="J76">
            <v>0</v>
          </cell>
          <cell r="K76" t="str">
            <v/>
          </cell>
          <cell r="L76"/>
          <cell r="M76"/>
          <cell r="N76"/>
          <cell r="O76"/>
        </row>
        <row r="77">
          <cell r="B77" t="str">
            <v>CARDIFF</v>
          </cell>
          <cell r="C77"/>
          <cell r="D77" t="str">
            <v/>
          </cell>
          <cell r="E77"/>
          <cell r="F77"/>
          <cell r="G77"/>
          <cell r="H77"/>
          <cell r="I77"/>
          <cell r="J77">
            <v>0</v>
          </cell>
          <cell r="K77" t="str">
            <v/>
          </cell>
          <cell r="L77"/>
          <cell r="M77"/>
          <cell r="N77"/>
          <cell r="O77"/>
        </row>
        <row r="78">
          <cell r="B78" t="str">
            <v>CAROLINA</v>
          </cell>
          <cell r="C78"/>
          <cell r="D78" t="str">
            <v/>
          </cell>
          <cell r="E78"/>
          <cell r="F78"/>
          <cell r="G78"/>
          <cell r="H78"/>
          <cell r="I78"/>
          <cell r="J78">
            <v>0</v>
          </cell>
          <cell r="K78" t="str">
            <v/>
          </cell>
          <cell r="L78"/>
          <cell r="M78"/>
          <cell r="N78"/>
          <cell r="O78"/>
        </row>
        <row r="79">
          <cell r="B79" t="str">
            <v>CARRARA</v>
          </cell>
          <cell r="C79"/>
          <cell r="D79" t="str">
            <v/>
          </cell>
          <cell r="E79"/>
          <cell r="F79"/>
          <cell r="G79"/>
          <cell r="H79"/>
          <cell r="I79"/>
          <cell r="J79">
            <v>0</v>
          </cell>
          <cell r="K79" t="str">
            <v/>
          </cell>
          <cell r="L79"/>
          <cell r="M79"/>
          <cell r="N79"/>
          <cell r="O79"/>
        </row>
        <row r="80">
          <cell r="B80" t="str">
            <v>CATANIA</v>
          </cell>
          <cell r="C80"/>
          <cell r="D80" t="str">
            <v/>
          </cell>
          <cell r="E80"/>
          <cell r="F80"/>
          <cell r="G80"/>
          <cell r="H80"/>
          <cell r="I80"/>
          <cell r="J80">
            <v>0</v>
          </cell>
          <cell r="K80" t="str">
            <v/>
          </cell>
          <cell r="L80"/>
          <cell r="M80"/>
          <cell r="N80"/>
          <cell r="O80"/>
        </row>
        <row r="81">
          <cell r="B81" t="str">
            <v>CERVINIA</v>
          </cell>
          <cell r="C81"/>
          <cell r="D81" t="str">
            <v/>
          </cell>
          <cell r="E81"/>
          <cell r="F81"/>
          <cell r="G81"/>
          <cell r="H81"/>
          <cell r="I81"/>
          <cell r="J81">
            <v>0</v>
          </cell>
          <cell r="K81" t="str">
            <v/>
          </cell>
          <cell r="L81"/>
          <cell r="M81"/>
          <cell r="N81"/>
          <cell r="O81"/>
        </row>
        <row r="82">
          <cell r="B82" t="str">
            <v>CHARLESTON</v>
          </cell>
          <cell r="C82"/>
          <cell r="D82" t="str">
            <v/>
          </cell>
          <cell r="E82"/>
          <cell r="F82"/>
          <cell r="G82"/>
          <cell r="H82"/>
          <cell r="I82"/>
          <cell r="J82">
            <v>0</v>
          </cell>
          <cell r="K82" t="str">
            <v/>
          </cell>
          <cell r="L82"/>
          <cell r="M82"/>
          <cell r="N82"/>
          <cell r="O82"/>
        </row>
        <row r="83">
          <cell r="B83" t="str">
            <v>CHICAGO</v>
          </cell>
          <cell r="C83" t="str">
            <v xml:space="preserve">MEN'S FLEECE JUMPER </v>
          </cell>
          <cell r="D83" t="str">
            <v>R.S&amp;JMN_JMP</v>
          </cell>
          <cell r="E83" t="str">
            <v>RIDER</v>
          </cell>
          <cell r="F83" t="str">
            <v>MEN</v>
          </cell>
          <cell r="G83" t="str">
            <v>SWEATS &amp; JUMPERS</v>
          </cell>
          <cell r="H83" t="str">
            <v>MEN</v>
          </cell>
          <cell r="I83" t="str">
            <v>JUMPERS</v>
          </cell>
          <cell r="J83" t="str">
            <v>JUMPERS</v>
          </cell>
          <cell r="K83" t="str">
            <v xml:space="preserve">MEN'S FLEECE JUMPER </v>
          </cell>
          <cell r="L83" t="str">
            <v xml:space="preserve">CSM fleece jumpers are made with high quality fleece fabric to keep you warm in the horse world where you spend the majority of your time in the outdoors.
</v>
          </cell>
          <cell r="M83" t="str">
            <v>*High density &amp; soft fleece fabric
*Extra-warm
Composition:
100% Polyester</v>
          </cell>
          <cell r="N83" t="str">
            <v>Machine Wash at 30°C
Mild process
Do not bleach
Do NOT Tumble Dry</v>
          </cell>
          <cell r="O83" t="str">
            <v>ERKEK POLAR HIRKA</v>
          </cell>
        </row>
        <row r="84">
          <cell r="B84" t="str">
            <v>COLORADO</v>
          </cell>
          <cell r="C84"/>
          <cell r="D84" t="str">
            <v/>
          </cell>
          <cell r="E84"/>
          <cell r="F84"/>
          <cell r="G84"/>
          <cell r="H84"/>
          <cell r="I84"/>
          <cell r="J84">
            <v>0</v>
          </cell>
          <cell r="K84" t="str">
            <v/>
          </cell>
          <cell r="L84"/>
          <cell r="M84"/>
          <cell r="N84"/>
          <cell r="O84"/>
        </row>
        <row r="85">
          <cell r="B85" t="str">
            <v>COMO</v>
          </cell>
          <cell r="C85"/>
          <cell r="D85" t="str">
            <v/>
          </cell>
          <cell r="E85"/>
          <cell r="F85"/>
          <cell r="G85"/>
          <cell r="H85"/>
          <cell r="I85"/>
          <cell r="J85">
            <v>0</v>
          </cell>
          <cell r="K85" t="str">
            <v/>
          </cell>
          <cell r="L85"/>
          <cell r="M85"/>
          <cell r="N85"/>
          <cell r="O85"/>
        </row>
        <row r="86">
          <cell r="B86" t="str">
            <v>CONNECTICUT</v>
          </cell>
          <cell r="C86"/>
          <cell r="D86" t="str">
            <v/>
          </cell>
          <cell r="E86"/>
          <cell r="F86"/>
          <cell r="G86"/>
          <cell r="H86"/>
          <cell r="I86"/>
          <cell r="J86">
            <v>0</v>
          </cell>
          <cell r="K86" t="str">
            <v/>
          </cell>
          <cell r="L86"/>
          <cell r="M86"/>
          <cell r="N86"/>
          <cell r="O86"/>
        </row>
        <row r="87">
          <cell r="B87" t="str">
            <v>COPENHAGEN</v>
          </cell>
          <cell r="C87" t="str">
            <v xml:space="preserve">MEN'S LONG SLEEVE BASE LAYER </v>
          </cell>
          <cell r="D87" t="str">
            <v>R.TOPMN_BLY</v>
          </cell>
          <cell r="E87" t="str">
            <v>RIDER</v>
          </cell>
          <cell r="F87" t="str">
            <v>MEN</v>
          </cell>
          <cell r="G87" t="str">
            <v>TOPS</v>
          </cell>
          <cell r="H87" t="str">
            <v>MEN</v>
          </cell>
          <cell r="I87" t="str">
            <v>BASE LAYERS</v>
          </cell>
          <cell r="J87" t="str">
            <v>BASE LAYERS</v>
          </cell>
          <cell r="K87" t="str">
            <v xml:space="preserve">MEN'S LONG SLEEVE BASE LAYER </v>
          </cell>
          <cell r="L87" t="str">
            <v xml:space="preserve">COPENHAGEN Long Sleeve Base Layer / Second Skin
Soft, comfortable and technical
Ventilation fabric under arms and back neck to increase breathing
These elegant base layers are designed to ride and train in style.
</v>
          </cell>
          <cell r="M87" t="str">
            <v>*Extra-soft and comfortable technical jersey
* 4-way stretch fabric
* Breathable and Quick Dry
* Wrinkle-free and Easy Care
Composition:
90% Polyamide 10% Elasthane</v>
          </cell>
          <cell r="N87" t="str">
            <v>Machine Wash at 30°C
Mild process
Iron at low temperature
Iron from REVERSE
Do NOT iron on logos or prints
Do not bleach
Do NOT Tumble Dry</v>
          </cell>
          <cell r="O87" t="str">
            <v>ERKEK UZUN KOL T-SHIRT</v>
          </cell>
        </row>
        <row r="88">
          <cell r="B88" t="str">
            <v>CORDOBA</v>
          </cell>
          <cell r="C88"/>
          <cell r="D88" t="str">
            <v/>
          </cell>
          <cell r="E88"/>
          <cell r="F88"/>
          <cell r="G88"/>
          <cell r="H88"/>
          <cell r="I88"/>
          <cell r="J88">
            <v>0</v>
          </cell>
          <cell r="K88" t="str">
            <v/>
          </cell>
          <cell r="L88"/>
          <cell r="M88"/>
          <cell r="N88"/>
          <cell r="O88"/>
        </row>
        <row r="89">
          <cell r="B89" t="str">
            <v>COSTA RICA</v>
          </cell>
          <cell r="C89"/>
          <cell r="D89" t="str">
            <v/>
          </cell>
          <cell r="E89"/>
          <cell r="F89"/>
          <cell r="G89"/>
          <cell r="H89"/>
          <cell r="I89"/>
          <cell r="J89">
            <v>0</v>
          </cell>
          <cell r="K89" t="str">
            <v/>
          </cell>
          <cell r="L89"/>
          <cell r="M89"/>
          <cell r="N89"/>
          <cell r="O89"/>
        </row>
        <row r="90">
          <cell r="B90" t="str">
            <v>COVENTRY</v>
          </cell>
          <cell r="C90"/>
          <cell r="D90" t="str">
            <v/>
          </cell>
          <cell r="E90"/>
          <cell r="F90"/>
          <cell r="G90"/>
          <cell r="H90"/>
          <cell r="I90"/>
          <cell r="J90">
            <v>0</v>
          </cell>
          <cell r="K90" t="str">
            <v/>
          </cell>
          <cell r="L90"/>
          <cell r="M90"/>
          <cell r="N90"/>
          <cell r="O90"/>
        </row>
        <row r="91">
          <cell r="B91" t="str">
            <v>CUBA</v>
          </cell>
          <cell r="C91"/>
          <cell r="D91" t="str">
            <v/>
          </cell>
          <cell r="E91"/>
          <cell r="F91"/>
          <cell r="G91"/>
          <cell r="H91"/>
          <cell r="I91"/>
          <cell r="J91">
            <v>0</v>
          </cell>
          <cell r="K91" t="str">
            <v/>
          </cell>
          <cell r="L91"/>
          <cell r="M91"/>
          <cell r="N91"/>
          <cell r="O91"/>
        </row>
        <row r="92">
          <cell r="B92" t="str">
            <v>DAKAR</v>
          </cell>
          <cell r="C92"/>
          <cell r="D92" t="str">
            <v/>
          </cell>
          <cell r="E92"/>
          <cell r="F92"/>
          <cell r="G92"/>
          <cell r="H92"/>
          <cell r="I92"/>
          <cell r="J92">
            <v>0</v>
          </cell>
          <cell r="K92" t="str">
            <v/>
          </cell>
          <cell r="L92"/>
          <cell r="M92"/>
          <cell r="N92"/>
          <cell r="O92"/>
        </row>
        <row r="93">
          <cell r="B93" t="str">
            <v>DAKOTA</v>
          </cell>
          <cell r="C93"/>
          <cell r="D93" t="str">
            <v/>
          </cell>
          <cell r="E93"/>
          <cell r="F93"/>
          <cell r="G93"/>
          <cell r="H93"/>
          <cell r="I93"/>
          <cell r="J93">
            <v>0</v>
          </cell>
          <cell r="K93" t="str">
            <v/>
          </cell>
          <cell r="L93"/>
          <cell r="M93"/>
          <cell r="N93"/>
          <cell r="O93"/>
        </row>
        <row r="94">
          <cell r="B94" t="str">
            <v>DALLAS</v>
          </cell>
          <cell r="C94"/>
          <cell r="D94" t="str">
            <v/>
          </cell>
          <cell r="E94"/>
          <cell r="F94"/>
          <cell r="G94"/>
          <cell r="H94"/>
          <cell r="I94"/>
          <cell r="J94">
            <v>0</v>
          </cell>
          <cell r="K94" t="str">
            <v/>
          </cell>
          <cell r="L94"/>
          <cell r="M94"/>
          <cell r="N94"/>
          <cell r="O94"/>
        </row>
        <row r="95">
          <cell r="B95" t="str">
            <v>DELAWARE</v>
          </cell>
          <cell r="C95"/>
          <cell r="D95" t="str">
            <v/>
          </cell>
          <cell r="E95"/>
          <cell r="F95"/>
          <cell r="G95"/>
          <cell r="H95"/>
          <cell r="I95"/>
          <cell r="J95">
            <v>0</v>
          </cell>
          <cell r="K95" t="str">
            <v/>
          </cell>
          <cell r="L95"/>
          <cell r="M95"/>
          <cell r="N95"/>
          <cell r="O95"/>
        </row>
        <row r="96">
          <cell r="B96" t="str">
            <v>DENVER</v>
          </cell>
          <cell r="C96"/>
          <cell r="D96" t="str">
            <v/>
          </cell>
          <cell r="E96"/>
          <cell r="F96"/>
          <cell r="G96"/>
          <cell r="H96"/>
          <cell r="I96"/>
          <cell r="J96">
            <v>0</v>
          </cell>
          <cell r="K96" t="str">
            <v/>
          </cell>
          <cell r="L96"/>
          <cell r="M96"/>
          <cell r="N96"/>
          <cell r="O96"/>
        </row>
        <row r="97">
          <cell r="B97" t="str">
            <v>DERBY</v>
          </cell>
          <cell r="C97"/>
          <cell r="D97" t="str">
            <v/>
          </cell>
          <cell r="E97"/>
          <cell r="F97"/>
          <cell r="G97"/>
          <cell r="H97"/>
          <cell r="I97"/>
          <cell r="J97">
            <v>0</v>
          </cell>
          <cell r="K97" t="str">
            <v/>
          </cell>
          <cell r="L97"/>
          <cell r="M97"/>
          <cell r="N97"/>
          <cell r="O97"/>
        </row>
        <row r="98">
          <cell r="B98" t="str">
            <v>DEVON</v>
          </cell>
          <cell r="C98"/>
          <cell r="D98" t="str">
            <v/>
          </cell>
          <cell r="E98"/>
          <cell r="F98"/>
          <cell r="G98"/>
          <cell r="H98"/>
          <cell r="I98"/>
          <cell r="J98">
            <v>0</v>
          </cell>
          <cell r="K98" t="str">
            <v/>
          </cell>
          <cell r="L98"/>
          <cell r="M98"/>
          <cell r="N98"/>
          <cell r="O98"/>
        </row>
        <row r="99">
          <cell r="B99" t="str">
            <v>DOHA</v>
          </cell>
          <cell r="C99"/>
          <cell r="D99" t="str">
            <v/>
          </cell>
          <cell r="E99"/>
          <cell r="F99"/>
          <cell r="G99"/>
          <cell r="H99"/>
          <cell r="I99"/>
          <cell r="J99">
            <v>0</v>
          </cell>
          <cell r="K99" t="str">
            <v/>
          </cell>
          <cell r="L99"/>
          <cell r="M99"/>
          <cell r="N99"/>
          <cell r="O99"/>
        </row>
        <row r="100">
          <cell r="B100" t="str">
            <v>DUBAI</v>
          </cell>
          <cell r="C100"/>
          <cell r="D100" t="str">
            <v/>
          </cell>
          <cell r="E100"/>
          <cell r="F100"/>
          <cell r="G100"/>
          <cell r="H100"/>
          <cell r="I100"/>
          <cell r="J100">
            <v>0</v>
          </cell>
          <cell r="K100" t="str">
            <v/>
          </cell>
          <cell r="L100"/>
          <cell r="M100"/>
          <cell r="N100"/>
          <cell r="O100"/>
        </row>
        <row r="101">
          <cell r="B101" t="str">
            <v>DUBLIN</v>
          </cell>
          <cell r="C101" t="str">
            <v>COOLER BLANKET</v>
          </cell>
          <cell r="D101" t="str">
            <v>H.RUGFL_COO</v>
          </cell>
          <cell r="E101" t="str">
            <v>HORSE</v>
          </cell>
          <cell r="F101" t="str">
            <v>HORSE</v>
          </cell>
          <cell r="G101" t="str">
            <v>RUGS</v>
          </cell>
          <cell r="H101" t="str">
            <v>FULL</v>
          </cell>
          <cell r="I101" t="str">
            <v>COOLER BLANKETS</v>
          </cell>
          <cell r="J101" t="str">
            <v>COOLER BLANKETS</v>
          </cell>
          <cell r="K101" t="str">
            <v>COOLER BLANKET</v>
          </cell>
          <cell r="L101" t="str">
            <v>Tartan knitted cooler blanket
An alternative and a different approach to fleece coolers.
Lighter weight and stylish
Your horse will be noticed with these designer cooler blankets</v>
          </cell>
          <cell r="M101" t="str">
            <v>*Lighter weight
*Yarn-dyed knitted fabric
Composition:
Cotton, Acrylic, Polyester</v>
          </cell>
          <cell r="N101" t="str">
            <v>Machine Wash at 30°C
Mild process
Do not bleach
Do NOT Tumble Dry</v>
          </cell>
          <cell r="O101" t="str">
            <v>TER BLANKETİ</v>
          </cell>
        </row>
        <row r="102">
          <cell r="B102" t="str">
            <v>DUBLIN-P</v>
          </cell>
          <cell r="C102" t="str">
            <v>COOLER BLANKET</v>
          </cell>
          <cell r="D102" t="str">
            <v>H.RUGPN_COO</v>
          </cell>
          <cell r="E102" t="str">
            <v>HORSE</v>
          </cell>
          <cell r="F102" t="str">
            <v>PONY</v>
          </cell>
          <cell r="G102" t="str">
            <v>RUGS</v>
          </cell>
          <cell r="H102" t="str">
            <v>PONY</v>
          </cell>
          <cell r="I102" t="str">
            <v>COOLER BLANKETS</v>
          </cell>
          <cell r="J102" t="str">
            <v>COOLER BLANKETS</v>
          </cell>
          <cell r="K102" t="str">
            <v>PONY - COOLER BLANKET</v>
          </cell>
          <cell r="L102" t="str">
            <v>Tartan knitted Pony cooler blanket
An alternative and a different approach to fleece coolers.
Lighter weight and stylish
Your horse will be noticed with these designer cooler blankets</v>
          </cell>
          <cell r="M102" t="str">
            <v>*Lighter weight
*Yarn-dyed knitted fabric
Composition:
Cotton, Acrylic, Polyester</v>
          </cell>
          <cell r="N102" t="str">
            <v>Machine Wash at 30°C
Mild process
Do not bleach
Do NOT Tumble Dry</v>
          </cell>
          <cell r="O102" t="str">
            <v>PONY TER BLANKETİ</v>
          </cell>
        </row>
        <row r="103">
          <cell r="B103" t="str">
            <v>EDINBURGH</v>
          </cell>
          <cell r="C103"/>
          <cell r="D103" t="str">
            <v/>
          </cell>
          <cell r="E103"/>
          <cell r="F103"/>
          <cell r="G103"/>
          <cell r="H103"/>
          <cell r="I103"/>
          <cell r="J103">
            <v>0</v>
          </cell>
          <cell r="K103" t="str">
            <v/>
          </cell>
          <cell r="L103"/>
          <cell r="M103"/>
          <cell r="N103"/>
          <cell r="O103"/>
        </row>
        <row r="104">
          <cell r="B104" t="str">
            <v>ELBA</v>
          </cell>
          <cell r="C104"/>
          <cell r="D104" t="str">
            <v/>
          </cell>
          <cell r="E104"/>
          <cell r="F104"/>
          <cell r="G104"/>
          <cell r="H104"/>
          <cell r="I104"/>
          <cell r="J104">
            <v>0</v>
          </cell>
          <cell r="K104" t="str">
            <v/>
          </cell>
          <cell r="L104"/>
          <cell r="M104"/>
          <cell r="N104"/>
          <cell r="O104"/>
        </row>
        <row r="105">
          <cell r="B105" t="str">
            <v>ELEGANTE</v>
          </cell>
          <cell r="C105"/>
          <cell r="D105" t="str">
            <v/>
          </cell>
          <cell r="E105"/>
          <cell r="F105"/>
          <cell r="G105"/>
          <cell r="H105"/>
          <cell r="I105"/>
          <cell r="J105">
            <v>0</v>
          </cell>
          <cell r="K105" t="str">
            <v/>
          </cell>
          <cell r="L105"/>
          <cell r="M105"/>
          <cell r="N105"/>
          <cell r="O105"/>
        </row>
        <row r="106">
          <cell r="B106" t="str">
            <v>ENZA</v>
          </cell>
          <cell r="C106" t="str">
            <v>WOMEN'S COMPETITION POLO SHORT SLEEVE</v>
          </cell>
          <cell r="D106" t="str">
            <v>R.TOPWN_CPL</v>
          </cell>
          <cell r="E106" t="str">
            <v>RIDER</v>
          </cell>
          <cell r="F106" t="str">
            <v>WOMEN</v>
          </cell>
          <cell r="G106" t="str">
            <v>TOPS</v>
          </cell>
          <cell r="H106" t="str">
            <v>WOMEN</v>
          </cell>
          <cell r="I106" t="str">
            <v>COMPETITION POLOS</v>
          </cell>
          <cell r="J106" t="str">
            <v>COMPETITION POLO SHORT SLEEVE</v>
          </cell>
          <cell r="K106" t="str">
            <v>WOMEN'S COMPETITION POLO SHORT SLEEVE</v>
          </cell>
          <cell r="L106"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06" t="str">
            <v>* Specially engineered design for high performance
* 4-way super stretch piquet jersey
* Soft and comfortable
* Breathable
* Quick dry
Composition:
95% Poliamide 5% Elasthane</v>
          </cell>
          <cell r="N106" t="str">
            <v>Machine Wash at 30°C
Mild process
Iron at low temperature
Iron from REVERSE
Do NOT iron on logos or prints
Do not bleach
Do NOT Tumble Dry</v>
          </cell>
          <cell r="O106" t="str">
            <v>KADIN KISA KOL YARIŞMA POLO</v>
          </cell>
        </row>
        <row r="107">
          <cell r="B107" t="str">
            <v>ENZA-TBF</v>
          </cell>
          <cell r="C107" t="str">
            <v>WOMEN'S COMPETITION POLO SHORT SLEEVE X TEAM TÜRKİYE</v>
          </cell>
          <cell r="D107" t="str">
            <v>R.TOPWN_CPL</v>
          </cell>
          <cell r="E107" t="str">
            <v>RIDER</v>
          </cell>
          <cell r="F107" t="str">
            <v>WOMEN</v>
          </cell>
          <cell r="G107" t="str">
            <v>TOPS</v>
          </cell>
          <cell r="H107" t="str">
            <v>WOMEN</v>
          </cell>
          <cell r="I107" t="str">
            <v>COMPETITION POLOS</v>
          </cell>
          <cell r="J107" t="str">
            <v>COMPETITION POLO SHORT SLEEVE</v>
          </cell>
          <cell r="K107" t="str">
            <v>WOMEN'S COMPETITION POLO SHORT SLEEVE X TEAM TÜRKİYE</v>
          </cell>
          <cell r="L107"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07" t="str">
            <v>* Specially engineered design for high performance
* 4-way super stretch piquet jersey
* Soft and comfortable
* Breathable
* Quick dry
Composition:
95% Poliamide 5% Elasthane</v>
          </cell>
          <cell r="N107" t="str">
            <v>Machine Wash at 30°C
Mild process
Iron at low temperature
Iron from REVERSE
Do NOT iron on logos or prints
Do not bleach
Do NOT Tumble Dry</v>
          </cell>
          <cell r="O107" t="str">
            <v>KADIN KISA KOL YARIŞMA POLO X TEAM TÜRKİYE</v>
          </cell>
        </row>
        <row r="108">
          <cell r="B108" t="str">
            <v>ENZA-JR</v>
          </cell>
          <cell r="C108" t="str">
            <v>GIRL'S COMPETITION POLO SHORT SLEEVE</v>
          </cell>
          <cell r="D108" t="str">
            <v>R.TOPKG_CPL</v>
          </cell>
          <cell r="E108" t="str">
            <v>RIDER</v>
          </cell>
          <cell r="F108" t="str">
            <v>JUNIOR</v>
          </cell>
          <cell r="G108" t="str">
            <v>TOPS</v>
          </cell>
          <cell r="H108" t="str">
            <v>KIDS GIRL</v>
          </cell>
          <cell r="I108" t="str">
            <v>COMPETITION POLOS</v>
          </cell>
          <cell r="J108" t="str">
            <v>COMPETITION POLO SHORT SLEEVE</v>
          </cell>
          <cell r="K108" t="str">
            <v>GIRL'S COMPETITION POLO SHORT SLEEVE</v>
          </cell>
          <cell r="L108"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08" t="str">
            <v>* Specially engineered design for high performance
* 4-way super stretch piquet jersey
* Soft and comfortable
* Breathable
* Quick dry
Composition:
95% Poliamide 5% Elasthane</v>
          </cell>
          <cell r="N108" t="str">
            <v>Machine Wash at 30°C
Mild process
Iron at low temperature
Iron from REVERSE
Do NOT iron on logos or prints
Do not bleach
Do NOT Tumble Dry</v>
          </cell>
          <cell r="O108" t="str">
            <v>KIZ ÇOCUK KISA KOL YARIŞMA POLO</v>
          </cell>
        </row>
        <row r="109">
          <cell r="B109" t="str">
            <v>ENZO</v>
          </cell>
          <cell r="C109" t="str">
            <v>MEN'S COMPETITION POLO SHORT SLEEVE</v>
          </cell>
          <cell r="D109" t="str">
            <v>R.TOPMN_CPL</v>
          </cell>
          <cell r="E109" t="str">
            <v>RIDER</v>
          </cell>
          <cell r="F109" t="str">
            <v>MEN</v>
          </cell>
          <cell r="G109" t="str">
            <v>TOPS</v>
          </cell>
          <cell r="H109" t="str">
            <v>MEN</v>
          </cell>
          <cell r="I109" t="str">
            <v>COMPETITION POLOS</v>
          </cell>
          <cell r="J109" t="str">
            <v>COMPETITION POLO SHORT SLEEVE</v>
          </cell>
          <cell r="K109" t="str">
            <v>MEN'S COMPETITION POLO SHORT SLEEVE</v>
          </cell>
          <cell r="L109"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09" t="str">
            <v>* Specially engineered design for high performance
* 4-way super stretch piquet jersey
* Soft and comfortable
* Breathable
* Quick dry
Composition:
95% Poliamide 5% Elasthane</v>
          </cell>
          <cell r="N109" t="str">
            <v>Machine Wash at 30°C
Mild process
Iron at low temperature
Iron from REVERSE
Do NOT iron on logos or prints
Do not bleach
Do NOT Tumble Dry</v>
          </cell>
          <cell r="O109" t="str">
            <v>ERKEK KISA KOL YARIŞMA POLO</v>
          </cell>
        </row>
        <row r="110">
          <cell r="B110" t="str">
            <v>ENZO-TBF</v>
          </cell>
          <cell r="C110" t="str">
            <v>MEN'S COMPETITION POLO SHORT SLEEVE X TEAM TÜRKİYE</v>
          </cell>
          <cell r="D110" t="str">
            <v>R.TOPMN_CPL</v>
          </cell>
          <cell r="E110" t="str">
            <v>RIDER</v>
          </cell>
          <cell r="F110" t="str">
            <v>MEN</v>
          </cell>
          <cell r="G110" t="str">
            <v>TOPS</v>
          </cell>
          <cell r="H110" t="str">
            <v>MEN</v>
          </cell>
          <cell r="I110" t="str">
            <v>COMPETITION POLOS</v>
          </cell>
          <cell r="J110" t="str">
            <v>COMPETITION POLO SHORT SLEEVE</v>
          </cell>
          <cell r="K110" t="str">
            <v>MEN'S COMPETITION POLO SHORT SLEEVE X TEAM TÜRKİYE</v>
          </cell>
          <cell r="L110"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10" t="str">
            <v>* Specially engineered design for high performance
* 4-way super stretch piquet jersey
* Soft and comfortable
* Breathable
* Quick dry
Composition:
95% Poliamide 5% Elasthane</v>
          </cell>
          <cell r="N110" t="str">
            <v>Machine Wash at 30°C
Mild process
Iron at low temperature
Iron from REVERSE
Do NOT iron on logos or prints
Do not bleach
Do NOT Tumble Dry</v>
          </cell>
          <cell r="O110" t="str">
            <v>ERKEK KISA KOL YARIŞMA POLO X TEAM TÜRKİYE</v>
          </cell>
        </row>
        <row r="111">
          <cell r="B111" t="str">
            <v>ENZO-JR</v>
          </cell>
          <cell r="C111" t="str">
            <v>BOY'S COMPETITION POLO SHORT SLEEVE</v>
          </cell>
          <cell r="D111" t="str">
            <v>R.TOPKB_CPL</v>
          </cell>
          <cell r="E111" t="str">
            <v>RIDER</v>
          </cell>
          <cell r="F111" t="str">
            <v>JUNIOR</v>
          </cell>
          <cell r="G111" t="str">
            <v>TOPS</v>
          </cell>
          <cell r="H111" t="str">
            <v>KIDS BOY</v>
          </cell>
          <cell r="I111" t="str">
            <v>COMPETITION POLOS</v>
          </cell>
          <cell r="J111" t="str">
            <v>COMPETITION POLO SHORT SLEEVE</v>
          </cell>
          <cell r="K111" t="str">
            <v>BOY'S COMPETITION POLO SHORT SLEEVE</v>
          </cell>
          <cell r="L111"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11" t="str">
            <v>* Specially engineered design for high performance
* 4-way super stretch piquet jersey
* Soft and comfortable
* Breathable
* Quick dry
Composition:
95% Poliamide 5% Elasthane</v>
          </cell>
          <cell r="N111" t="str">
            <v>Machine Wash at 30°C
Mild process
Iron at low temperature
Iron from REVERSE
Do NOT iron on logos or prints
Do not bleach
Do NOT Tumble Dry</v>
          </cell>
          <cell r="O111" t="str">
            <v>ERKEK ÇOCUK KISA KOL YARIŞMA POLO</v>
          </cell>
        </row>
        <row r="112">
          <cell r="B112" t="str">
            <v>FERNANDO</v>
          </cell>
          <cell r="C112" t="str">
            <v>KEY RING</v>
          </cell>
          <cell r="D112" t="str">
            <v>A.RACNA_KYR</v>
          </cell>
          <cell r="E112" t="str">
            <v>ACCESSORIES</v>
          </cell>
          <cell r="F112" t="str">
            <v>ACCESSORIES</v>
          </cell>
          <cell r="G112" t="str">
            <v>RIDER ACCESSORIES</v>
          </cell>
          <cell r="H112" t="str">
            <v>NOT APPLICABLE</v>
          </cell>
          <cell r="I112" t="str">
            <v>KEY RINGS</v>
          </cell>
          <cell r="J112" t="str">
            <v>KEY RINGS</v>
          </cell>
          <cell r="K112" t="str">
            <v>KEY RING</v>
          </cell>
          <cell r="L112" t="str">
            <v>Key Ring with embroidery
Pick what you want to write on your tag, whether it is your horse's name or yours, or even both 
Pick the emroidery color
and have the priviledge to have your horse's name on your keys or accessories</v>
          </cell>
          <cell r="M112" t="str">
            <v>* Custom and free text selection
* A wide range of emroidery color selection
*Written on a 100% polyester ribbon tag
*Easy on swivel hook</v>
          </cell>
          <cell r="N112" t="str">
            <v>Do not wash in washing machine</v>
          </cell>
          <cell r="O112" t="str">
            <v>ANAHTARLIK</v>
          </cell>
        </row>
        <row r="113">
          <cell r="B113" t="str">
            <v>FIJI</v>
          </cell>
          <cell r="C113"/>
          <cell r="D113" t="str">
            <v/>
          </cell>
          <cell r="E113"/>
          <cell r="F113"/>
          <cell r="G113"/>
          <cell r="H113"/>
          <cell r="I113"/>
          <cell r="J113">
            <v>0</v>
          </cell>
          <cell r="K113" t="str">
            <v/>
          </cell>
          <cell r="L113"/>
          <cell r="M113"/>
          <cell r="N113"/>
          <cell r="O113"/>
        </row>
        <row r="114">
          <cell r="B114" t="str">
            <v>FIRENZE</v>
          </cell>
          <cell r="C114"/>
          <cell r="D114" t="str">
            <v/>
          </cell>
          <cell r="E114"/>
          <cell r="F114"/>
          <cell r="G114"/>
          <cell r="H114"/>
          <cell r="I114"/>
          <cell r="J114">
            <v>0</v>
          </cell>
          <cell r="K114" t="str">
            <v/>
          </cell>
          <cell r="L114"/>
          <cell r="M114"/>
          <cell r="N114"/>
          <cell r="O114"/>
        </row>
        <row r="115">
          <cell r="B115" t="str">
            <v>FLEECE-X</v>
          </cell>
          <cell r="C115" t="str">
            <v>FLEECE EXERCISE SHEET</v>
          </cell>
          <cell r="D115" t="str">
            <v>H.RUGFL_EXS</v>
          </cell>
          <cell r="E115" t="str">
            <v>HORSE</v>
          </cell>
          <cell r="F115" t="str">
            <v>HORSE</v>
          </cell>
          <cell r="G115" t="str">
            <v>RUGS</v>
          </cell>
          <cell r="H115" t="str">
            <v>FULL</v>
          </cell>
          <cell r="I115" t="str">
            <v>EXERCISE / QUARTER SHEETS</v>
          </cell>
          <cell r="J115" t="str">
            <v>EXERCISE / QUARTER SHEETS</v>
          </cell>
          <cell r="K115" t="str">
            <v>FLEECE EXERCISE SHEET</v>
          </cell>
          <cell r="L115" t="str">
            <v>High density and high quality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ell>
          <cell r="M115" t="str">
            <v xml:space="preserve">*High density fleece fabric
*Custom design and pattern to sit prefectly on the horse during training
*Super soft hand feel
*Keeps warmer with respect to traditional standard density fleece blankets
Composition:
100% Polyester
</v>
          </cell>
          <cell r="N115" t="str">
            <v>Machine Wash at 30°C
Mild process
Do not bleach
Do NOT Tumble Dry</v>
          </cell>
          <cell r="O115" t="str">
            <v>POLAR ÇALIŞMA BLANKETİ</v>
          </cell>
        </row>
        <row r="116">
          <cell r="B116" t="str">
            <v>FLEECE-XP</v>
          </cell>
          <cell r="C116" t="str">
            <v>FLEECE EXERCISE SHEET</v>
          </cell>
          <cell r="D116" t="str">
            <v>H.RUGPN_EXS</v>
          </cell>
          <cell r="E116" t="str">
            <v>HORSE</v>
          </cell>
          <cell r="F116" t="str">
            <v>PONY</v>
          </cell>
          <cell r="G116" t="str">
            <v>RUGS</v>
          </cell>
          <cell r="H116" t="str">
            <v>PONY</v>
          </cell>
          <cell r="I116" t="str">
            <v>EXERCISE / QUARTER SHEETS</v>
          </cell>
          <cell r="J116" t="str">
            <v>EXERCISE / QUARTER SHEETS</v>
          </cell>
          <cell r="K116" t="str">
            <v>PONY - FLEECE EXERCISE SHEET</v>
          </cell>
          <cell r="L116" t="str">
            <v>High density and high quality Pony fleece exercise sheet will keep your horse extra warm during cold days.
Thanks to its custom design and pattern, you can easily use this product in all gaits and even at very high speeds through out training without disturbing the horse or your ride.
These soft and beautiful fleece blankets come in a wide variety of profound and nice colors.</v>
          </cell>
          <cell r="M116" t="str">
            <v xml:space="preserve">*High density fleece fabric
*Custom design and pattern to sit prefectly on the horse during training
*Super soft hand feel
*Keeps warmer with respect to traditional standard density fleece blankets
Composition:
100% Polyester
</v>
          </cell>
          <cell r="N116" t="str">
            <v>Machine Wash at 30°C
Mild process
Do not bleach
Do NOT Tumble Dry</v>
          </cell>
          <cell r="O116" t="str">
            <v>PONY POLAR ÇALIŞMA BLANKETİ</v>
          </cell>
        </row>
        <row r="117">
          <cell r="B117" t="str">
            <v>FLORENCE</v>
          </cell>
          <cell r="C117"/>
          <cell r="D117" t="str">
            <v/>
          </cell>
          <cell r="E117"/>
          <cell r="F117"/>
          <cell r="G117"/>
          <cell r="H117"/>
          <cell r="I117"/>
          <cell r="J117">
            <v>0</v>
          </cell>
          <cell r="K117" t="str">
            <v/>
          </cell>
          <cell r="L117"/>
          <cell r="M117"/>
          <cell r="N117"/>
          <cell r="O117"/>
        </row>
        <row r="118">
          <cell r="B118" t="str">
            <v>FLORIDA</v>
          </cell>
          <cell r="C118"/>
          <cell r="D118" t="str">
            <v/>
          </cell>
          <cell r="E118"/>
          <cell r="F118"/>
          <cell r="G118"/>
          <cell r="H118"/>
          <cell r="I118"/>
          <cell r="J118">
            <v>0</v>
          </cell>
          <cell r="K118" t="str">
            <v/>
          </cell>
          <cell r="L118"/>
          <cell r="M118"/>
          <cell r="N118"/>
          <cell r="O118"/>
        </row>
        <row r="119">
          <cell r="B119" t="str">
            <v>FONDI-3XB</v>
          </cell>
          <cell r="C119" t="str">
            <v>4 SEASON RIDING SOCKS 
3 PACK BUNDLE</v>
          </cell>
          <cell r="D119" t="str">
            <v>A.RACAU_SOC</v>
          </cell>
          <cell r="E119" t="str">
            <v>ACCESSORIES</v>
          </cell>
          <cell r="F119" t="str">
            <v>ACCESSORIES</v>
          </cell>
          <cell r="G119" t="str">
            <v>RIDER ACCESSORIES</v>
          </cell>
          <cell r="H119" t="str">
            <v>ADULTS UNISEX</v>
          </cell>
          <cell r="I119" t="str">
            <v>RIDING SOCKS</v>
          </cell>
          <cell r="J119" t="str">
            <v>RIDING SOCKS</v>
          </cell>
          <cell r="K119" t="str">
            <v>4 SEASON RIDING SOCKS 
3 PACK BUNDLE</v>
          </cell>
          <cell r="L119" t="str">
            <v xml:space="preserve">FONDI 3 PACK BUNDLE
AIRFLOW  SUMMER SOCKS 
Specially designed for riders    
SMART FIT - (Sizes 35 to 45)    
UNISEX    
COMFORTABLE   
BREATHABLE  
</v>
          </cell>
          <cell r="M119" t="str">
            <v xml:space="preserve">50% Cotton, 45% Nylon, 5% Elasthane
Technical Features:    
Fine Cotton bottom for comfort and humidity control    
Maximum breathability with CSM Airflow Technology     
Super light microfiber leg layer for cool feeling            
</v>
          </cell>
          <cell r="N119" t="str">
            <v xml:space="preserve">For best use we recommend hand-wash    
or Machine wash at 30C with hand-wash setting    
DO NOT TUMBLE DRY  </v>
          </cell>
          <cell r="O119" t="str">
            <v>4 MEVSİM BİNİCİ ÇORABI
3'LÜ PAKET</v>
          </cell>
        </row>
        <row r="120">
          <cell r="B120" t="str">
            <v>GENEVE</v>
          </cell>
          <cell r="C120"/>
          <cell r="D120" t="str">
            <v/>
          </cell>
          <cell r="E120"/>
          <cell r="F120"/>
          <cell r="G120"/>
          <cell r="H120"/>
          <cell r="I120"/>
          <cell r="J120">
            <v>0</v>
          </cell>
          <cell r="K120" t="str">
            <v/>
          </cell>
          <cell r="L120"/>
          <cell r="M120"/>
          <cell r="N120"/>
          <cell r="O120"/>
        </row>
        <row r="121">
          <cell r="B121" t="str">
            <v>GENOVA</v>
          </cell>
          <cell r="C121"/>
          <cell r="D121" t="str">
            <v/>
          </cell>
          <cell r="E121"/>
          <cell r="F121"/>
          <cell r="G121"/>
          <cell r="H121"/>
          <cell r="I121"/>
          <cell r="J121">
            <v>0</v>
          </cell>
          <cell r="K121" t="str">
            <v/>
          </cell>
          <cell r="L121"/>
          <cell r="M121"/>
          <cell r="N121"/>
          <cell r="O121"/>
        </row>
        <row r="122">
          <cell r="B122" t="str">
            <v>GEORGIA</v>
          </cell>
          <cell r="C122"/>
          <cell r="D122" t="str">
            <v/>
          </cell>
          <cell r="E122"/>
          <cell r="F122"/>
          <cell r="G122"/>
          <cell r="H122"/>
          <cell r="I122"/>
          <cell r="J122">
            <v>0</v>
          </cell>
          <cell r="K122" t="str">
            <v/>
          </cell>
          <cell r="L122"/>
          <cell r="M122"/>
          <cell r="N122"/>
          <cell r="O122"/>
        </row>
        <row r="123">
          <cell r="B123" t="str">
            <v>GLASGOW</v>
          </cell>
          <cell r="C123"/>
          <cell r="D123" t="str">
            <v/>
          </cell>
          <cell r="E123"/>
          <cell r="F123"/>
          <cell r="G123"/>
          <cell r="H123"/>
          <cell r="I123"/>
          <cell r="J123">
            <v>0</v>
          </cell>
          <cell r="K123" t="str">
            <v/>
          </cell>
          <cell r="L123"/>
          <cell r="M123"/>
          <cell r="N123"/>
          <cell r="O123"/>
        </row>
        <row r="124">
          <cell r="B124" t="str">
            <v>GORLA MINORE</v>
          </cell>
          <cell r="C124" t="str">
            <v>WOMEN'S PRO COMPETITION JACKET</v>
          </cell>
          <cell r="D124" t="str">
            <v>R.J&amp;TWN_CJK</v>
          </cell>
          <cell r="E124" t="str">
            <v>RIDER</v>
          </cell>
          <cell r="F124" t="str">
            <v>WOMEN</v>
          </cell>
          <cell r="G124" t="str">
            <v>JACKETS &amp; TAILCOATS</v>
          </cell>
          <cell r="H124" t="str">
            <v>WOMEN</v>
          </cell>
          <cell r="I124" t="str">
            <v>COMPETITION JACKETS</v>
          </cell>
          <cell r="J124" t="str">
            <v>COMPETITION JACKETS</v>
          </cell>
          <cell r="K124" t="str">
            <v>WOMEN'S PRO COMPETITION JACKET</v>
          </cell>
          <cell r="L124" t="str">
            <v>MADE IN ITALY WITH PREMIUM ITALIAN FABRICS
Professional Series Competition jacket with soft-shell microfibre that is waterproof, highly elastic and breathable technical jersey fabric. Machine washable</v>
          </cell>
          <cell r="M124" t="str">
            <v>*Italian Premium fabric
*Extra-soft and comfortable technical jersey
* 4-way stretch fabric
* Breathable and Quick Dry
* Wrinkle-free and Easy Care
Composition:
74% Micro PA /  26% Elasthane</v>
          </cell>
          <cell r="N124" t="str">
            <v>Machine Wash at 30°C
Mild process
Iron at low temperature
Iron from REVERSE
Do NOT iron on logos or prints
Do not bleach
Do NOT Tumble Dry</v>
          </cell>
          <cell r="O124" t="str">
            <v>KADIN PRO YARIŞMA CEKETİ</v>
          </cell>
        </row>
        <row r="125">
          <cell r="B125" t="str">
            <v>GORLA MINORE-TBF</v>
          </cell>
          <cell r="C125" t="str">
            <v>WOMEN'S PRO COMPETITION JACKET X TEAM TÜRKİYE</v>
          </cell>
          <cell r="D125" t="str">
            <v>R.J&amp;TWN_CJK</v>
          </cell>
          <cell r="E125" t="str">
            <v>RIDER</v>
          </cell>
          <cell r="F125" t="str">
            <v>WOMEN</v>
          </cell>
          <cell r="G125" t="str">
            <v>JACKETS &amp; TAILCOATS</v>
          </cell>
          <cell r="H125" t="str">
            <v>WOMEN</v>
          </cell>
          <cell r="I125" t="str">
            <v>COMPETITION JACKETS</v>
          </cell>
          <cell r="J125" t="str">
            <v>COMPETITION JACKETS</v>
          </cell>
          <cell r="K125" t="str">
            <v>WOMEN'S PRO COMPETITION JACKET X TEAM TÜRKİYE</v>
          </cell>
          <cell r="L125" t="str">
            <v>MADE IN ITALY WITH PREMIUM ITALIAN FABRICS
Professional Series Competition jacket with soft-shell microfibre that is waterproof, highly elastic and breathable technical jersey fabric. Machine washable</v>
          </cell>
          <cell r="M125" t="str">
            <v>*Italian Premium fabric
*Extra-soft and comfortable technical jersey
* 4-way stretch fabric
* Breathable and Quick Dry
* Wrinkle-free and Easy Care
Composition:
74% Micro PA /  26% Elasthane</v>
          </cell>
          <cell r="N125" t="str">
            <v>Machine Wash at 30°C
Mild process
Iron at low temperature
Iron from REVERSE
Do NOT iron on logos or prints
Do not bleach
Do NOT Tumble Dry</v>
          </cell>
          <cell r="O125" t="str">
            <v>KADIN PRO YARIŞMA CEKETİ X TEAM TÜRKİYE</v>
          </cell>
        </row>
        <row r="126">
          <cell r="B126" t="str">
            <v>GRANADA</v>
          </cell>
          <cell r="C126"/>
          <cell r="D126" t="str">
            <v/>
          </cell>
          <cell r="E126"/>
          <cell r="F126"/>
          <cell r="G126"/>
          <cell r="H126"/>
          <cell r="I126"/>
          <cell r="J126">
            <v>0</v>
          </cell>
          <cell r="K126" t="str">
            <v/>
          </cell>
          <cell r="L126"/>
          <cell r="M126"/>
          <cell r="N126"/>
          <cell r="O126"/>
        </row>
        <row r="127">
          <cell r="B127" t="str">
            <v>HAITI</v>
          </cell>
          <cell r="C127"/>
          <cell r="D127" t="str">
            <v/>
          </cell>
          <cell r="E127"/>
          <cell r="F127"/>
          <cell r="G127"/>
          <cell r="H127"/>
          <cell r="I127"/>
          <cell r="J127">
            <v>0</v>
          </cell>
          <cell r="K127" t="str">
            <v/>
          </cell>
          <cell r="L127"/>
          <cell r="M127"/>
          <cell r="N127"/>
          <cell r="O127"/>
        </row>
        <row r="128">
          <cell r="B128" t="str">
            <v>HALIFAX</v>
          </cell>
          <cell r="C128"/>
          <cell r="D128" t="str">
            <v/>
          </cell>
          <cell r="E128"/>
          <cell r="F128"/>
          <cell r="G128"/>
          <cell r="H128"/>
          <cell r="I128"/>
          <cell r="J128">
            <v>0</v>
          </cell>
          <cell r="K128" t="str">
            <v/>
          </cell>
          <cell r="L128"/>
          <cell r="M128"/>
          <cell r="N128"/>
          <cell r="O128"/>
        </row>
        <row r="129">
          <cell r="B129" t="str">
            <v>HAMBURG</v>
          </cell>
          <cell r="C129"/>
          <cell r="D129" t="str">
            <v/>
          </cell>
          <cell r="E129"/>
          <cell r="F129"/>
          <cell r="G129"/>
          <cell r="H129"/>
          <cell r="I129"/>
          <cell r="J129">
            <v>0</v>
          </cell>
          <cell r="K129" t="str">
            <v/>
          </cell>
          <cell r="L129"/>
          <cell r="M129"/>
          <cell r="N129"/>
          <cell r="O129"/>
        </row>
        <row r="130">
          <cell r="B130" t="str">
            <v>HAVANA</v>
          </cell>
          <cell r="C130"/>
          <cell r="D130" t="str">
            <v/>
          </cell>
          <cell r="E130"/>
          <cell r="F130"/>
          <cell r="G130"/>
          <cell r="H130"/>
          <cell r="I130"/>
          <cell r="J130">
            <v>0</v>
          </cell>
          <cell r="K130" t="str">
            <v/>
          </cell>
          <cell r="L130"/>
          <cell r="M130"/>
          <cell r="N130"/>
          <cell r="O130"/>
        </row>
        <row r="131">
          <cell r="B131" t="str">
            <v>HAWAII</v>
          </cell>
          <cell r="C131"/>
          <cell r="D131" t="str">
            <v/>
          </cell>
          <cell r="E131"/>
          <cell r="F131"/>
          <cell r="G131"/>
          <cell r="H131"/>
          <cell r="I131"/>
          <cell r="J131">
            <v>0</v>
          </cell>
          <cell r="K131" t="str">
            <v/>
          </cell>
          <cell r="L131"/>
          <cell r="M131"/>
          <cell r="N131"/>
          <cell r="O131"/>
        </row>
        <row r="132">
          <cell r="B132" t="str">
            <v>HELSINKI</v>
          </cell>
          <cell r="C132" t="str">
            <v>MEN'S LONG SLEEVE BASE LAYER QUARTER ZIP</v>
          </cell>
          <cell r="D132" t="str">
            <v>R.TOPMN_BLY</v>
          </cell>
          <cell r="E132" t="str">
            <v>RIDER</v>
          </cell>
          <cell r="F132" t="str">
            <v>MEN</v>
          </cell>
          <cell r="G132" t="str">
            <v>TOPS</v>
          </cell>
          <cell r="H132" t="str">
            <v>MEN</v>
          </cell>
          <cell r="I132" t="str">
            <v>BASE LAYERS</v>
          </cell>
          <cell r="J132" t="str">
            <v>BASE LAYERS</v>
          </cell>
          <cell r="K132" t="str">
            <v>MEN'S LONG SLEEVE BASE LAYER QUARTER ZIP</v>
          </cell>
          <cell r="L132" t="str">
            <v xml:space="preserve">HELSINKI Quarter Zip Base Layer / Second Skin
Soft, comfortable and technical
These elegant base layers are designed to ride and train in style.
</v>
          </cell>
          <cell r="M132" t="str">
            <v>*Extra-soft and comfortable technical jersey
* 4-way stretch fabric
* Breathable and Quick Dry
* Wrinkle-free and Easy Care
Composition:
90% Polyamide 10% Elasthane</v>
          </cell>
          <cell r="N132" t="str">
            <v>Machine Wash at 30°C
Mild process
Iron at low temperature
Iron from REVERSE
Do NOT iron on logos or prints
Do not bleach
Do NOT Tumble Dry</v>
          </cell>
          <cell r="O132" t="str">
            <v>ERKEK UZUN KOL FERMUARLI T-SHIRT</v>
          </cell>
        </row>
        <row r="133">
          <cell r="B133" t="str">
            <v>HONG KONG</v>
          </cell>
          <cell r="C133"/>
          <cell r="D133" t="str">
            <v/>
          </cell>
          <cell r="E133"/>
          <cell r="F133"/>
          <cell r="G133"/>
          <cell r="H133"/>
          <cell r="I133"/>
          <cell r="J133">
            <v>0</v>
          </cell>
          <cell r="K133" t="str">
            <v/>
          </cell>
          <cell r="L133"/>
          <cell r="M133"/>
          <cell r="N133"/>
          <cell r="O133"/>
        </row>
        <row r="134">
          <cell r="B134" t="str">
            <v>IBIZA</v>
          </cell>
          <cell r="C134"/>
          <cell r="D134" t="str">
            <v/>
          </cell>
          <cell r="E134"/>
          <cell r="F134"/>
          <cell r="G134"/>
          <cell r="H134"/>
          <cell r="I134"/>
          <cell r="J134">
            <v>0</v>
          </cell>
          <cell r="K134" t="str">
            <v/>
          </cell>
          <cell r="L134"/>
          <cell r="M134"/>
          <cell r="N134"/>
          <cell r="O134"/>
        </row>
        <row r="135">
          <cell r="B135" t="str">
            <v>IDAHO</v>
          </cell>
          <cell r="C135"/>
          <cell r="D135" t="str">
            <v/>
          </cell>
          <cell r="E135"/>
          <cell r="F135"/>
          <cell r="G135"/>
          <cell r="H135"/>
          <cell r="I135"/>
          <cell r="J135">
            <v>0</v>
          </cell>
          <cell r="K135" t="str">
            <v/>
          </cell>
          <cell r="L135"/>
          <cell r="M135"/>
          <cell r="N135"/>
          <cell r="O135"/>
        </row>
        <row r="136">
          <cell r="B136" t="str">
            <v>ILLINOIS</v>
          </cell>
          <cell r="C136"/>
          <cell r="D136" t="str">
            <v/>
          </cell>
          <cell r="E136"/>
          <cell r="F136"/>
          <cell r="G136"/>
          <cell r="H136"/>
          <cell r="I136"/>
          <cell r="J136">
            <v>0</v>
          </cell>
          <cell r="K136" t="str">
            <v/>
          </cell>
          <cell r="L136"/>
          <cell r="M136"/>
          <cell r="N136"/>
          <cell r="O136"/>
        </row>
        <row r="137">
          <cell r="B137" t="str">
            <v>INDIANA</v>
          </cell>
          <cell r="C137"/>
          <cell r="D137" t="str">
            <v/>
          </cell>
          <cell r="E137"/>
          <cell r="F137"/>
          <cell r="G137"/>
          <cell r="H137"/>
          <cell r="I137"/>
          <cell r="J137">
            <v>0</v>
          </cell>
          <cell r="K137" t="str">
            <v/>
          </cell>
          <cell r="L137"/>
          <cell r="M137"/>
          <cell r="N137"/>
          <cell r="O137"/>
        </row>
        <row r="138">
          <cell r="B138" t="str">
            <v>IOWA</v>
          </cell>
          <cell r="C138"/>
          <cell r="D138" t="str">
            <v/>
          </cell>
          <cell r="E138"/>
          <cell r="F138"/>
          <cell r="G138"/>
          <cell r="H138"/>
          <cell r="I138"/>
          <cell r="J138">
            <v>0</v>
          </cell>
          <cell r="K138" t="str">
            <v/>
          </cell>
          <cell r="L138"/>
          <cell r="M138"/>
          <cell r="N138"/>
          <cell r="O138"/>
        </row>
        <row r="139">
          <cell r="B139" t="str">
            <v>ISCHIA</v>
          </cell>
          <cell r="C139"/>
          <cell r="D139" t="str">
            <v/>
          </cell>
          <cell r="E139"/>
          <cell r="F139"/>
          <cell r="G139"/>
          <cell r="H139"/>
          <cell r="I139"/>
          <cell r="J139">
            <v>0</v>
          </cell>
          <cell r="K139" t="str">
            <v/>
          </cell>
          <cell r="L139"/>
          <cell r="M139"/>
          <cell r="N139"/>
          <cell r="O139"/>
        </row>
        <row r="140">
          <cell r="B140" t="str">
            <v>ISTANBUL</v>
          </cell>
          <cell r="C140"/>
          <cell r="D140" t="str">
            <v/>
          </cell>
          <cell r="E140"/>
          <cell r="F140"/>
          <cell r="G140"/>
          <cell r="H140"/>
          <cell r="I140"/>
          <cell r="J140">
            <v>0</v>
          </cell>
          <cell r="K140" t="str">
            <v/>
          </cell>
          <cell r="L140"/>
          <cell r="M140"/>
          <cell r="N140"/>
          <cell r="O140"/>
        </row>
        <row r="141">
          <cell r="B141" t="str">
            <v>JAMAICA</v>
          </cell>
          <cell r="C141"/>
          <cell r="D141" t="str">
            <v/>
          </cell>
          <cell r="E141"/>
          <cell r="F141"/>
          <cell r="G141"/>
          <cell r="H141"/>
          <cell r="I141"/>
          <cell r="J141">
            <v>0</v>
          </cell>
          <cell r="K141" t="str">
            <v/>
          </cell>
          <cell r="L141"/>
          <cell r="M141"/>
          <cell r="N141"/>
          <cell r="O141"/>
        </row>
        <row r="142">
          <cell r="B142" t="str">
            <v>KANSAS</v>
          </cell>
          <cell r="C142"/>
          <cell r="D142" t="str">
            <v/>
          </cell>
          <cell r="E142"/>
          <cell r="F142"/>
          <cell r="G142"/>
          <cell r="H142"/>
          <cell r="I142"/>
          <cell r="J142">
            <v>0</v>
          </cell>
          <cell r="K142" t="str">
            <v/>
          </cell>
          <cell r="L142"/>
          <cell r="M142"/>
          <cell r="N142"/>
          <cell r="O142"/>
        </row>
        <row r="143">
          <cell r="B143" t="str">
            <v>KENTUCKY</v>
          </cell>
          <cell r="C143"/>
          <cell r="D143" t="str">
            <v/>
          </cell>
          <cell r="E143"/>
          <cell r="F143"/>
          <cell r="G143"/>
          <cell r="H143"/>
          <cell r="I143"/>
          <cell r="J143">
            <v>0</v>
          </cell>
          <cell r="K143" t="str">
            <v/>
          </cell>
          <cell r="L143"/>
          <cell r="M143"/>
          <cell r="N143"/>
          <cell r="O143"/>
        </row>
        <row r="144">
          <cell r="B144" t="str">
            <v>LA CORUNA</v>
          </cell>
          <cell r="C144"/>
          <cell r="D144" t="str">
            <v/>
          </cell>
          <cell r="E144"/>
          <cell r="F144"/>
          <cell r="G144"/>
          <cell r="H144"/>
          <cell r="I144"/>
          <cell r="J144">
            <v>0</v>
          </cell>
          <cell r="K144" t="str">
            <v/>
          </cell>
          <cell r="L144"/>
          <cell r="M144"/>
          <cell r="N144"/>
          <cell r="O144"/>
        </row>
        <row r="145">
          <cell r="B145" t="str">
            <v>LAMPEDUSA</v>
          </cell>
          <cell r="C145"/>
          <cell r="D145" t="str">
            <v/>
          </cell>
          <cell r="E145"/>
          <cell r="F145"/>
          <cell r="G145"/>
          <cell r="H145"/>
          <cell r="I145"/>
          <cell r="J145">
            <v>0</v>
          </cell>
          <cell r="K145" t="str">
            <v/>
          </cell>
          <cell r="L145"/>
          <cell r="M145"/>
          <cell r="N145"/>
          <cell r="O145"/>
        </row>
        <row r="146">
          <cell r="B146" t="str">
            <v>LAS PALMAS</v>
          </cell>
          <cell r="C146"/>
          <cell r="D146" t="str">
            <v/>
          </cell>
          <cell r="E146"/>
          <cell r="F146"/>
          <cell r="G146"/>
          <cell r="H146"/>
          <cell r="I146"/>
          <cell r="J146">
            <v>0</v>
          </cell>
          <cell r="K146" t="str">
            <v/>
          </cell>
          <cell r="L146"/>
          <cell r="M146"/>
          <cell r="N146"/>
          <cell r="O146"/>
        </row>
        <row r="147">
          <cell r="B147" t="str">
            <v>LAZIO</v>
          </cell>
          <cell r="C147" t="str">
            <v>GEO ALL-SEASON RIDING SOCKS</v>
          </cell>
          <cell r="D147" t="str">
            <v>A.RACAU_SOC</v>
          </cell>
          <cell r="E147" t="str">
            <v>ACCESSORIES</v>
          </cell>
          <cell r="F147" t="str">
            <v>ACCESSORIES</v>
          </cell>
          <cell r="G147" t="str">
            <v>RIDER ACCESSORIES</v>
          </cell>
          <cell r="H147" t="str">
            <v>ADULTS UNISEX</v>
          </cell>
          <cell r="I147" t="str">
            <v>RIDING SOCKS</v>
          </cell>
          <cell r="J147" t="str">
            <v>RIDING SOCKS</v>
          </cell>
          <cell r="K147" t="str">
            <v>GEO ALL-SEASON RIDING SOCKS</v>
          </cell>
          <cell r="L147" t="str">
            <v xml:space="preserve">LAZIO
PERFORMANCE RIDING SOCKS
Specially designed for riders
ALL SEASONS X UNISEX   
</v>
          </cell>
          <cell r="M147" t="str">
            <v xml:space="preserve">%98 Polyamide, 2% Elasthane        
Technical Features:    
Comfortable and durable microfiber    
Anti-bacterial and Breathable    
Heel and front foot reinforced for high durability    
Soft and comfortable fit 
</v>
          </cell>
          <cell r="N147" t="str">
            <v xml:space="preserve">For best use we recommend hand-wash    
or Machine wash at 30C with hand-wash setting    
DO NOT TUMBLE DRY  </v>
          </cell>
          <cell r="O147" t="str">
            <v>GEO 4 MEVSİM BİNİCİ ÇORABI</v>
          </cell>
        </row>
        <row r="148">
          <cell r="B148" t="str">
            <v>LAZIO-3XB</v>
          </cell>
          <cell r="C148" t="str">
            <v>GEO ALL-SEASON RIDING SOCKS 
3 PACK BUNDLE</v>
          </cell>
          <cell r="D148" t="str">
            <v>A.RACAU_SOC</v>
          </cell>
          <cell r="E148" t="str">
            <v>ACCESSORIES</v>
          </cell>
          <cell r="F148" t="str">
            <v>ACCESSORIES</v>
          </cell>
          <cell r="G148" t="str">
            <v>RIDER ACCESSORIES</v>
          </cell>
          <cell r="H148" t="str">
            <v>ADULTS UNISEX</v>
          </cell>
          <cell r="I148" t="str">
            <v>RIDING SOCKS</v>
          </cell>
          <cell r="J148" t="str">
            <v>RIDING SOCKS</v>
          </cell>
          <cell r="K148" t="str">
            <v>GEO ALL-SEASON RIDING SOCKS 
3 PACK BUNDLE</v>
          </cell>
          <cell r="L148" t="str">
            <v xml:space="preserve">LAZIO 3 PACK BUNDLE
PERFORMANCE RIDING SOCKS
Specially designed for riders
ALL SEASONS X UNISEX   
</v>
          </cell>
          <cell r="M148" t="str">
            <v xml:space="preserve">%98 Polyamide, 2% Elasthane        
Technical Features:    
Comfortable and durable microfiber    
Anti-bacterial and Breathable    
Heel and front foot reinforced for high durability    
Soft and comfortable fit 
</v>
          </cell>
          <cell r="N148" t="str">
            <v xml:space="preserve">For best use we recommend hand-wash    
or Machine wash at 30C with hand-wash setting    
DO NOT TUMBLE DRY  </v>
          </cell>
          <cell r="O148" t="str">
            <v>GEO 4 MEVSİM BİNİCİ ÇORABI
3'LÜ PAKET</v>
          </cell>
        </row>
        <row r="149">
          <cell r="B149" t="str">
            <v>LEEDS</v>
          </cell>
          <cell r="C149"/>
          <cell r="D149" t="str">
            <v/>
          </cell>
          <cell r="E149"/>
          <cell r="F149"/>
          <cell r="G149"/>
          <cell r="H149"/>
          <cell r="I149"/>
          <cell r="J149">
            <v>0</v>
          </cell>
          <cell r="K149" t="str">
            <v/>
          </cell>
          <cell r="L149"/>
          <cell r="M149"/>
          <cell r="N149"/>
          <cell r="O149"/>
        </row>
        <row r="150">
          <cell r="B150" t="str">
            <v>LEICESTER</v>
          </cell>
          <cell r="C150"/>
          <cell r="D150" t="str">
            <v/>
          </cell>
          <cell r="E150"/>
          <cell r="F150"/>
          <cell r="G150"/>
          <cell r="H150"/>
          <cell r="I150"/>
          <cell r="J150">
            <v>0</v>
          </cell>
          <cell r="K150" t="str">
            <v/>
          </cell>
          <cell r="L150"/>
          <cell r="M150"/>
          <cell r="N150"/>
          <cell r="O150"/>
        </row>
        <row r="151">
          <cell r="B151" t="str">
            <v>LEONARDO</v>
          </cell>
          <cell r="C151" t="str">
            <v>MEN'S KNEE GRIP PRO BREECHES</v>
          </cell>
          <cell r="D151" t="str">
            <v>R.BOTMN_BRC</v>
          </cell>
          <cell r="E151" t="str">
            <v>RIDER</v>
          </cell>
          <cell r="F151" t="str">
            <v>MEN</v>
          </cell>
          <cell r="G151" t="str">
            <v>BOTTOMS</v>
          </cell>
          <cell r="H151" t="str">
            <v>MEN</v>
          </cell>
          <cell r="I151" t="str">
            <v>BREECHES</v>
          </cell>
          <cell r="J151" t="str">
            <v>BREECHES</v>
          </cell>
          <cell r="K151" t="str">
            <v>MEN'S KNEE GRIP PRO BREECHES</v>
          </cell>
          <cell r="L151" t="str">
            <v>MADE IN ITALY WITH PREMIUM ITALIAN FABRICS
Professional Series Breeches with Bi-stretch microfibre, antibacterical, waterrepellent and breathable technical jersey fabric. Comfortable side pockets with edge and back pockets with flaps and button. Grip knees applied for the best comfort</v>
          </cell>
          <cell r="M151" t="str">
            <v>*Italian Premium fabric
*Extra-soft and comfortable technical jersey
*4-way stretch fabric
*Breathable and Quick Dry
*Wrinkle-free and Easy Care
*Knee Grip
Composition:
74% Micro PA /  26% Elasthane</v>
          </cell>
          <cell r="N151" t="str">
            <v>Machine Wash at 30°C
Mild process
Iron at low temperature
Iron from REVERSE
Do NOT iron on logos or prints
Do not bleach
Do NOT Tumble Dry</v>
          </cell>
          <cell r="O151" t="str">
            <v>ERKEK PRO BİNİCİ PANTOLONU</v>
          </cell>
        </row>
        <row r="152">
          <cell r="B152" t="str">
            <v>LEONARDO-W</v>
          </cell>
          <cell r="C152" t="str">
            <v>MEN'S KNEE GRIP PRO WINTER BREECHES</v>
          </cell>
          <cell r="D152" t="str">
            <v>R.BOTMN_BRC</v>
          </cell>
          <cell r="E152" t="str">
            <v>RIDER</v>
          </cell>
          <cell r="F152" t="str">
            <v>MEN</v>
          </cell>
          <cell r="G152" t="str">
            <v>BOTTOMS</v>
          </cell>
          <cell r="H152" t="str">
            <v>MEN</v>
          </cell>
          <cell r="I152" t="str">
            <v>BREECHES</v>
          </cell>
          <cell r="J152" t="str">
            <v>BREECHES</v>
          </cell>
          <cell r="K152" t="str">
            <v>MEN'S KNEE GRIP PRO WINTER BREECHES</v>
          </cell>
          <cell r="L152" t="str">
            <v>MADE IN ITALY WITH PREMIUM ITALIAN FABRICS
Professional Series Winter Breeches that comes in a very soft microfibre on the surface fabric and a heat tech polar fabric on the inside to keep you warm during cold weather conditions and provide full movement whatever your discipline. Ideal for a long day activity. Grip knees for the best comfort. Finished with an elastic sock for a perfect fit.</v>
          </cell>
          <cell r="M152" t="str">
            <v>*Italian Premium fabric
*Extra-soft and comfortable technical jersey with heat tech polar fabric inside
*4-way stretch fabric
*Breathable and Quick Dry
*Wrinkle-free and Easy Care
*Knee Grip
Composition:
74% Micro PA /  26% Elasthane</v>
          </cell>
          <cell r="N152" t="str">
            <v>Machine Wash at 30°C
Mild process
Iron at low temperature
Iron from REVERSE
Do NOT iron on logos or prints
Do not bleach
Do NOT Tumble Dry</v>
          </cell>
          <cell r="O152" t="str">
            <v>KIŞLIK ERKEK PRO BİNİCİ PANTOLONU</v>
          </cell>
        </row>
        <row r="153">
          <cell r="B153" t="str">
            <v>LILLE</v>
          </cell>
          <cell r="C153"/>
          <cell r="D153" t="str">
            <v/>
          </cell>
          <cell r="E153"/>
          <cell r="F153"/>
          <cell r="G153"/>
          <cell r="H153"/>
          <cell r="I153"/>
          <cell r="J153">
            <v>0</v>
          </cell>
          <cell r="K153" t="str">
            <v/>
          </cell>
          <cell r="L153"/>
          <cell r="M153"/>
          <cell r="N153"/>
          <cell r="O153"/>
        </row>
        <row r="154">
          <cell r="B154" t="str">
            <v>LIPARI</v>
          </cell>
          <cell r="C154"/>
          <cell r="D154" t="str">
            <v/>
          </cell>
          <cell r="E154"/>
          <cell r="F154"/>
          <cell r="G154"/>
          <cell r="H154"/>
          <cell r="I154"/>
          <cell r="J154">
            <v>0</v>
          </cell>
          <cell r="K154" t="str">
            <v/>
          </cell>
          <cell r="L154"/>
          <cell r="M154"/>
          <cell r="N154"/>
          <cell r="O154"/>
        </row>
        <row r="155">
          <cell r="B155" t="str">
            <v>LISBON</v>
          </cell>
          <cell r="C155"/>
          <cell r="D155" t="str">
            <v/>
          </cell>
          <cell r="E155"/>
          <cell r="F155"/>
          <cell r="G155"/>
          <cell r="H155"/>
          <cell r="I155"/>
          <cell r="J155">
            <v>0</v>
          </cell>
          <cell r="K155" t="str">
            <v/>
          </cell>
          <cell r="L155"/>
          <cell r="M155"/>
          <cell r="N155"/>
          <cell r="O155"/>
        </row>
        <row r="156">
          <cell r="B156" t="str">
            <v>LIVERPOOL</v>
          </cell>
          <cell r="C156"/>
          <cell r="D156" t="str">
            <v/>
          </cell>
          <cell r="E156"/>
          <cell r="F156"/>
          <cell r="G156"/>
          <cell r="H156"/>
          <cell r="I156"/>
          <cell r="J156">
            <v>0</v>
          </cell>
          <cell r="K156" t="str">
            <v/>
          </cell>
          <cell r="L156"/>
          <cell r="M156"/>
          <cell r="N156"/>
          <cell r="O156"/>
        </row>
        <row r="157">
          <cell r="B157" t="str">
            <v>LONDON</v>
          </cell>
          <cell r="C157" t="str">
            <v>DIAMOND SADDLE PAD</v>
          </cell>
          <cell r="D157" t="str">
            <v>H.PADFL_SPD</v>
          </cell>
          <cell r="E157" t="str">
            <v>HORSE</v>
          </cell>
          <cell r="F157" t="str">
            <v>HORSE</v>
          </cell>
          <cell r="G157" t="str">
            <v>SADDLE PADS</v>
          </cell>
          <cell r="H157" t="str">
            <v>FULL</v>
          </cell>
          <cell r="I157" t="str">
            <v>SADDLE PAD DIAMOND</v>
          </cell>
          <cell r="J157" t="str">
            <v>SADDLE PAD DIAMOND</v>
          </cell>
          <cell r="K157" t="str">
            <v>DIAMOND SADDLE PAD</v>
          </cell>
          <cell r="L157" t="str">
            <v>Diamond design saddle pad
Bold design followed by superb technical performance
Our saddlepads are engineered to offer a remarkable esthetic look while providing an orthopedic and functional performance</v>
          </cell>
          <cell r="M157" t="str">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ell>
          <cell r="N157" t="str">
            <v>Machine Wash at 30°C
Mild process
Do not bleach
Do NOT Tumble Dry</v>
          </cell>
          <cell r="O157" t="str">
            <v>ELMAS DESEN EYER ALTI</v>
          </cell>
        </row>
        <row r="158">
          <cell r="B158" t="str">
            <v>LONDON-H</v>
          </cell>
          <cell r="C158" t="str">
            <v>HERITAGE DIAMOND SADDLE PAD</v>
          </cell>
          <cell r="D158" t="str">
            <v>H.PADFL_SPD</v>
          </cell>
          <cell r="E158" t="str">
            <v>HORSE</v>
          </cell>
          <cell r="F158" t="str">
            <v>HORSE</v>
          </cell>
          <cell r="G158" t="str">
            <v>SADDLE PADS</v>
          </cell>
          <cell r="H158" t="str">
            <v>FULL</v>
          </cell>
          <cell r="I158" t="str">
            <v>SADDLE PAD DIAMOND</v>
          </cell>
          <cell r="J158" t="str">
            <v>SADDLE PAD DIAMOND</v>
          </cell>
          <cell r="K158" t="str">
            <v>HERITAGE DIAMOND SADDLE PAD</v>
          </cell>
          <cell r="L158" t="str">
            <v>Diamond design saddle pad
Bold design followed by superb technical performance
Our saddlepads are engineered to offer a remarkable esthetic look while providing an orthopedic and functional performance</v>
          </cell>
          <cell r="M158" t="str">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ell>
          <cell r="N158" t="str">
            <v>Machine Wash at 30°C
Mild process
Do not bleach
Do NOT Tumble Dry</v>
          </cell>
          <cell r="O158" t="str">
            <v>HERITAGE DIAMOND DESEN EYER ALTI</v>
          </cell>
        </row>
        <row r="159">
          <cell r="B159" t="str">
            <v>LONDON-P</v>
          </cell>
          <cell r="C159" t="str">
            <v xml:space="preserve"> DIAMOND SADDLE PAD</v>
          </cell>
          <cell r="D159" t="str">
            <v>H.PADPN_SPD</v>
          </cell>
          <cell r="E159" t="str">
            <v>HORSE</v>
          </cell>
          <cell r="F159" t="str">
            <v>PONY</v>
          </cell>
          <cell r="G159" t="str">
            <v>SADDLE PADS</v>
          </cell>
          <cell r="H159" t="str">
            <v>PONY</v>
          </cell>
          <cell r="I159" t="str">
            <v>SADDLE PAD DIAMOND</v>
          </cell>
          <cell r="J159" t="str">
            <v>SADDLE PAD DIAMOND</v>
          </cell>
          <cell r="K159" t="str">
            <v>PONY -  DIAMOND SADDLE PAD</v>
          </cell>
          <cell r="L159" t="str">
            <v>Diamond design saddle pad for Pony
Bold design followed by superb technical performance
Our saddlepads are engineered to offer a remarkable esthetic look while providing an orthopedic and functional performance</v>
          </cell>
          <cell r="M159" t="str">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ell>
          <cell r="N159" t="str">
            <v>Machine Wash at 30°C
Mild process
Do not bleach
Do NOT Tumble Dry</v>
          </cell>
          <cell r="O159" t="str">
            <v>ELMAS DESEN PONY EYER ALTI</v>
          </cell>
        </row>
        <row r="160">
          <cell r="B160" t="str">
            <v>LOS ANGELES</v>
          </cell>
          <cell r="C160"/>
          <cell r="D160" t="str">
            <v/>
          </cell>
          <cell r="E160"/>
          <cell r="F160"/>
          <cell r="G160"/>
          <cell r="H160"/>
          <cell r="I160"/>
          <cell r="J160">
            <v>0</v>
          </cell>
          <cell r="K160" t="str">
            <v/>
          </cell>
          <cell r="L160"/>
          <cell r="M160"/>
          <cell r="N160"/>
          <cell r="O160"/>
        </row>
        <row r="161">
          <cell r="B161" t="str">
            <v>LOUISIANA</v>
          </cell>
          <cell r="C161"/>
          <cell r="D161" t="str">
            <v/>
          </cell>
          <cell r="E161"/>
          <cell r="F161"/>
          <cell r="G161"/>
          <cell r="H161"/>
          <cell r="I161"/>
          <cell r="J161">
            <v>0</v>
          </cell>
          <cell r="K161" t="str">
            <v/>
          </cell>
          <cell r="L161"/>
          <cell r="M161"/>
          <cell r="N161"/>
          <cell r="O161"/>
        </row>
        <row r="162">
          <cell r="B162" t="str">
            <v>LUCCA</v>
          </cell>
          <cell r="C162" t="str">
            <v>KID'S RIDING SOCKS</v>
          </cell>
          <cell r="D162" t="str">
            <v>A.RACKU_SOC</v>
          </cell>
          <cell r="E162" t="str">
            <v>ACCESSORIES</v>
          </cell>
          <cell r="F162" t="str">
            <v>ACCESSORIES</v>
          </cell>
          <cell r="G162" t="str">
            <v>RIDER ACCESSORIES</v>
          </cell>
          <cell r="H162" t="str">
            <v>KIDS UNISEX</v>
          </cell>
          <cell r="I162" t="str">
            <v>RIDING SOCKS</v>
          </cell>
          <cell r="J162" t="str">
            <v>RIDING SOCKS</v>
          </cell>
          <cell r="K162" t="str">
            <v>KID'S RIDING SOCKS</v>
          </cell>
          <cell r="L162" t="str">
            <v xml:space="preserve">LUCCA
KID'S PERFORMANCE RIDING SOCKS
Specially designed for young riders
ALL SEASONS X UNISEX   
</v>
          </cell>
          <cell r="M162" t="str">
            <v xml:space="preserve">%98 Polyamide, 2% Elasthane        
Technical Features:    
Comfortable and durable microfiber    
Anti-bacterial and Breathable    
Heel and front foot reinforced for high durability    
Soft and comfortable fit 
</v>
          </cell>
          <cell r="N162" t="str">
            <v xml:space="preserve">For best use we recommend hand-wash    
or Machine wash at 30C with hand-wash setting    
DO NOT TUMBLE DRY  </v>
          </cell>
          <cell r="O162" t="str">
            <v>ÇOCUK BİNİCİ ÇORABI</v>
          </cell>
        </row>
        <row r="163">
          <cell r="B163" t="str">
            <v>LUCCA-3XB</v>
          </cell>
          <cell r="C163" t="str">
            <v>KID'S RIDING SOCKS 
3 PACK BUNDLE</v>
          </cell>
          <cell r="D163" t="str">
            <v>A.RACKU_SOC</v>
          </cell>
          <cell r="E163" t="str">
            <v>ACCESSORIES</v>
          </cell>
          <cell r="F163" t="str">
            <v>ACCESSORIES</v>
          </cell>
          <cell r="G163" t="str">
            <v>RIDER ACCESSORIES</v>
          </cell>
          <cell r="H163" t="str">
            <v>KIDS UNISEX</v>
          </cell>
          <cell r="I163" t="str">
            <v>RIDING SOCKS</v>
          </cell>
          <cell r="J163" t="str">
            <v>RIDING SOCKS</v>
          </cell>
          <cell r="K163" t="str">
            <v>KID'S RIDING SOCKS 
3 PACK BUNDLE</v>
          </cell>
          <cell r="L163" t="str">
            <v xml:space="preserve">LUCCA 3 PACK BUNDLE
KID'S PERFORMANCE RIDING SOCKS
Specially designed for young riders
ALL SEASONS X UNISEX   
</v>
          </cell>
          <cell r="M163" t="str">
            <v xml:space="preserve">%98 Polyamide, 2% Elasthane        
Technical Features:    
Comfortable and durable microfiber    
Anti-bacterial and Breathable    
Heel and front foot reinforced for high durability    
Soft and comfortable fit 
</v>
          </cell>
          <cell r="N163" t="str">
            <v xml:space="preserve">For best use we recommend hand-wash    
or Machine wash at 30C with hand-wash setting    
DO NOT TUMBLE DRY  </v>
          </cell>
          <cell r="O163" t="str">
            <v>ÇOCUK BİNİCİ ÇORABI
3'LÜ PAKET</v>
          </cell>
        </row>
        <row r="164">
          <cell r="B164" t="str">
            <v>LUCERNE</v>
          </cell>
          <cell r="C164"/>
          <cell r="D164" t="str">
            <v/>
          </cell>
          <cell r="E164"/>
          <cell r="F164"/>
          <cell r="G164"/>
          <cell r="H164"/>
          <cell r="I164"/>
          <cell r="J164">
            <v>0</v>
          </cell>
          <cell r="K164" t="str">
            <v/>
          </cell>
          <cell r="L164"/>
          <cell r="M164"/>
          <cell r="N164"/>
          <cell r="O164"/>
        </row>
        <row r="165">
          <cell r="B165" t="str">
            <v>LUGANO</v>
          </cell>
          <cell r="C165" t="str">
            <v>MEN'S COMPETITION SHIRT LONG SLEEVE B.D. COLLAR</v>
          </cell>
          <cell r="D165" t="str">
            <v>R.TOPMN_CPS</v>
          </cell>
          <cell r="E165" t="str">
            <v>RIDER</v>
          </cell>
          <cell r="F165" t="str">
            <v>MEN</v>
          </cell>
          <cell r="G165" t="str">
            <v>TOPS</v>
          </cell>
          <cell r="H165" t="str">
            <v>MEN</v>
          </cell>
          <cell r="I165" t="str">
            <v>COMPETITION SHIRTS</v>
          </cell>
          <cell r="J165" t="str">
            <v>COMPETITION SHIRTS LONG SLEEVE</v>
          </cell>
          <cell r="K165" t="str">
            <v>MEN'S COMPETITION SHIRT LONG SLEEVE B.D. COLLAR</v>
          </cell>
          <cell r="L165" t="str">
            <v>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ell>
          <cell r="M165" t="str">
            <v>* Specially engineered design for high performance
* 4-way super stretch piquet jersey
* Soft and comfortable
* Breathable
* Quick dry
Composition:
95% Poliamide 5% Elasthane</v>
          </cell>
          <cell r="N165" t="str">
            <v>Machine Wash at 30°C
Mild process
Iron at low temperature
Iron from REVERSE
Do NOT iron on logos or prints
Do not bleach
Do NOT Tumble Dry</v>
          </cell>
          <cell r="O165" t="str">
            <v>ERKEK UZUN KOL YARIŞMA GÖMLEĞİ - DÜĞMELİ YAKA</v>
          </cell>
        </row>
        <row r="166">
          <cell r="B166" t="str">
            <v>LUNA</v>
          </cell>
          <cell r="C166" t="str">
            <v>GIRL'S FULL GRIP PRO LEGGINGS</v>
          </cell>
          <cell r="D166" t="str">
            <v>R.BOTKG_LGN</v>
          </cell>
          <cell r="E166" t="str">
            <v>RIDER</v>
          </cell>
          <cell r="F166" t="str">
            <v>JUNIOR</v>
          </cell>
          <cell r="G166" t="str">
            <v>BOTTOMS</v>
          </cell>
          <cell r="H166" t="str">
            <v>KIDS GIRL</v>
          </cell>
          <cell r="I166" t="str">
            <v>LEGGINGS</v>
          </cell>
          <cell r="J166" t="str">
            <v>LEGGINGS</v>
          </cell>
          <cell r="K166" t="str">
            <v>GIRL'S FULL GRIP PRO LEGGINGS</v>
          </cell>
          <cell r="L166" t="str">
            <v>MADE IN ITALY WITH PREMIUM ITALIAN FABRICS
Professional leggings in lurex microfibre, perfect wearability for all day activities. Side pockets and full grip applied for the best comfort.</v>
          </cell>
          <cell r="M166" t="str">
            <v>*Italian Premium fabric
*Extra-soft and comfortable technical jersey
*4-way stretch fabric
*Breathable and Quick Dry
*Wrinkle-free and Easy Care
*Full Grip
Composition:
74% Micro PA /  26% Elasthane</v>
          </cell>
          <cell r="N166" t="str">
            <v>Machine Wash at 30°C
Mild process
Iron at low temperature
Iron from REVERSE
Do NOT iron on logos or prints
Do not bleach
Do NOT Tumble Dry</v>
          </cell>
          <cell r="O166" t="str">
            <v>KIZ ÇOCUK FULL GRIP PRO BİNİCİ TAYTI</v>
          </cell>
        </row>
        <row r="167">
          <cell r="B167" t="str">
            <v>LUXEMBOURG</v>
          </cell>
          <cell r="C167"/>
          <cell r="D167" t="str">
            <v/>
          </cell>
          <cell r="E167"/>
          <cell r="F167"/>
          <cell r="G167"/>
          <cell r="H167"/>
          <cell r="I167"/>
          <cell r="J167">
            <v>0</v>
          </cell>
          <cell r="K167" t="str">
            <v/>
          </cell>
          <cell r="L167"/>
          <cell r="M167"/>
          <cell r="N167"/>
          <cell r="O167"/>
        </row>
        <row r="168">
          <cell r="B168" t="str">
            <v>LYON</v>
          </cell>
          <cell r="C168"/>
          <cell r="D168" t="str">
            <v/>
          </cell>
          <cell r="E168"/>
          <cell r="F168"/>
          <cell r="G168"/>
          <cell r="H168"/>
          <cell r="I168"/>
          <cell r="J168">
            <v>0</v>
          </cell>
          <cell r="K168" t="str">
            <v/>
          </cell>
          <cell r="L168"/>
          <cell r="M168"/>
          <cell r="N168"/>
          <cell r="O168"/>
        </row>
        <row r="169">
          <cell r="B169" t="str">
            <v>MADRID</v>
          </cell>
          <cell r="C169"/>
          <cell r="D169" t="str">
            <v/>
          </cell>
          <cell r="E169"/>
          <cell r="F169"/>
          <cell r="G169"/>
          <cell r="H169"/>
          <cell r="I169"/>
          <cell r="J169">
            <v>0</v>
          </cell>
          <cell r="K169" t="str">
            <v/>
          </cell>
          <cell r="L169"/>
          <cell r="M169"/>
          <cell r="N169"/>
          <cell r="O169"/>
        </row>
        <row r="170">
          <cell r="B170" t="str">
            <v>MAINE</v>
          </cell>
          <cell r="C170"/>
          <cell r="D170" t="str">
            <v/>
          </cell>
          <cell r="E170"/>
          <cell r="F170"/>
          <cell r="G170"/>
          <cell r="H170"/>
          <cell r="I170"/>
          <cell r="J170">
            <v>0</v>
          </cell>
          <cell r="K170" t="str">
            <v/>
          </cell>
          <cell r="L170"/>
          <cell r="M170"/>
          <cell r="N170"/>
          <cell r="O170"/>
        </row>
        <row r="171">
          <cell r="B171" t="str">
            <v>MALAGA</v>
          </cell>
          <cell r="C171"/>
          <cell r="D171" t="str">
            <v/>
          </cell>
          <cell r="E171"/>
          <cell r="F171"/>
          <cell r="G171"/>
          <cell r="H171"/>
          <cell r="I171"/>
          <cell r="J171">
            <v>0</v>
          </cell>
          <cell r="K171" t="str">
            <v/>
          </cell>
          <cell r="L171"/>
          <cell r="M171"/>
          <cell r="N171"/>
          <cell r="O171"/>
        </row>
        <row r="172">
          <cell r="B172" t="str">
            <v>MALDIVES</v>
          </cell>
          <cell r="C172"/>
          <cell r="D172" t="str">
            <v/>
          </cell>
          <cell r="E172"/>
          <cell r="F172"/>
          <cell r="G172"/>
          <cell r="H172"/>
          <cell r="I172"/>
          <cell r="J172">
            <v>0</v>
          </cell>
          <cell r="K172" t="str">
            <v/>
          </cell>
          <cell r="L172"/>
          <cell r="M172"/>
          <cell r="N172"/>
          <cell r="O172"/>
        </row>
        <row r="173">
          <cell r="B173" t="str">
            <v>MALI</v>
          </cell>
          <cell r="C173"/>
          <cell r="D173" t="str">
            <v/>
          </cell>
          <cell r="E173"/>
          <cell r="F173"/>
          <cell r="G173"/>
          <cell r="H173"/>
          <cell r="I173"/>
          <cell r="J173">
            <v>0</v>
          </cell>
          <cell r="K173" t="str">
            <v/>
          </cell>
          <cell r="L173"/>
          <cell r="M173"/>
          <cell r="N173"/>
          <cell r="O173"/>
        </row>
        <row r="174">
          <cell r="B174" t="str">
            <v>MALTA</v>
          </cell>
          <cell r="C174" t="str">
            <v>WOMEN'S TECH TRAINING POLO SHORT SLEEVE</v>
          </cell>
          <cell r="D174" t="str">
            <v>R.TOPWN_TPL</v>
          </cell>
          <cell r="E174" t="str">
            <v>RIDER</v>
          </cell>
          <cell r="F174" t="str">
            <v>WOMEN</v>
          </cell>
          <cell r="G174" t="str">
            <v>TOPS</v>
          </cell>
          <cell r="H174" t="str">
            <v>WOMEN</v>
          </cell>
          <cell r="I174" t="str">
            <v>TECH POLOS</v>
          </cell>
          <cell r="J174" t="str">
            <v>TECH POLOS SHORT SLEEVE</v>
          </cell>
          <cell r="K174" t="str">
            <v>WOMEN'S TECH TRAINING POLO SHORT SLEEVE</v>
          </cell>
          <cell r="L174" t="str">
            <v>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ell>
          <cell r="M174" t="str">
            <v>* Specially engineered design for high performance
* 4-way super stretch piquet jersey
* Soft and comfortable
* Breathable
* Quick dry
Composition:
95% Poliamide 5% Elasthane</v>
          </cell>
          <cell r="N174" t="str">
            <v>Machine Wash at 30°C
Mild process
Iron at low temperature
Iron from REVERSE
Do NOT iron on logos or prints
Do not bleach
Do NOT Tumble Dry</v>
          </cell>
          <cell r="O174" t="str">
            <v>KADIN KISA KOL TEKNİK ANTRENMAN POLO</v>
          </cell>
        </row>
        <row r="175">
          <cell r="B175" t="str">
            <v>MALTA-JR</v>
          </cell>
          <cell r="C175" t="str">
            <v>GIRL'S TECH TRAINING POLO SHORT SLEEVE</v>
          </cell>
          <cell r="D175" t="str">
            <v>R.TOPKG_TPL</v>
          </cell>
          <cell r="E175" t="str">
            <v>RIDER</v>
          </cell>
          <cell r="F175" t="str">
            <v>JUNIOR</v>
          </cell>
          <cell r="G175" t="str">
            <v>TOPS</v>
          </cell>
          <cell r="H175" t="str">
            <v>KIDS GIRL</v>
          </cell>
          <cell r="I175" t="str">
            <v>TECH POLOS</v>
          </cell>
          <cell r="J175" t="str">
            <v>TECH POLOS S/S</v>
          </cell>
          <cell r="K175" t="str">
            <v>GIRL'S TECH TRAINING POLO SHORT SLEEVE</v>
          </cell>
          <cell r="L175" t="str">
            <v>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ell>
          <cell r="M175" t="str">
            <v>* Specially engineered design for high performance
* 4-way super stretch piquet jersey
* Soft and comfortable
* Breathable
* Quick dry
Composition:
95% Poliamide 5% Elasthane</v>
          </cell>
          <cell r="N175" t="str">
            <v>Machine Wash at 30°C
Mild process
Iron at low temperature
Iron from REVERSE
Do NOT iron on logos or prints
Do not bleach
Do NOT Tumble Dry</v>
          </cell>
          <cell r="O175" t="str">
            <v>KIZ ÇOCUK KISA KOL TEKNİK ANTRENMAN POLO</v>
          </cell>
        </row>
        <row r="176">
          <cell r="B176" t="str">
            <v>MANCHESTER</v>
          </cell>
          <cell r="C176" t="str">
            <v>SUEDE SADDLE PAD</v>
          </cell>
          <cell r="D176" t="str">
            <v>H.PADFL_SPR</v>
          </cell>
          <cell r="E176" t="str">
            <v>HORSE</v>
          </cell>
          <cell r="F176" t="str">
            <v>HORSE</v>
          </cell>
          <cell r="G176" t="str">
            <v>SADDLE PADS</v>
          </cell>
          <cell r="H176" t="str">
            <v>FULL</v>
          </cell>
          <cell r="I176" t="str">
            <v>SADDLE PAD ROWS</v>
          </cell>
          <cell r="J176" t="str">
            <v>SADDLE PAD ROWS</v>
          </cell>
          <cell r="K176" t="str">
            <v>SUEDE SADDLE PAD</v>
          </cell>
          <cell r="L176" t="str">
            <v>Suede Saddle pad in Line design from the Heritage Collection
SanMarco Horse Embroidery
Elegancy followed by superb technical performance
Our saddle pads are engineered to offer a remarkable esthetic look while providing an orthopedic and functional performance</v>
          </cell>
          <cell r="M176" t="str">
            <v xml:space="preserve">* Suede fabric
*High density fiber + sponge filling for ultimate shock absorption to protect your horse's spine
Composition:
Shell fabric: 100% Polyester
Lining: 100% Cotton
Filling: 100%  Polyester
</v>
          </cell>
          <cell r="N176" t="str">
            <v>Machine Wash at 30°C
Mild process
Do not bleach
Do NOT Tumble Dry</v>
          </cell>
          <cell r="O176" t="str">
            <v>SÜET EYER ALTI</v>
          </cell>
        </row>
        <row r="177">
          <cell r="B177" t="str">
            <v>MARBELLA</v>
          </cell>
          <cell r="C177" t="str">
            <v>WOMEN'S LONG SLEEVE CASUAL SHIRT</v>
          </cell>
          <cell r="D177" t="str">
            <v>R.TOPWN_CSS</v>
          </cell>
          <cell r="E177" t="str">
            <v>RIDER</v>
          </cell>
          <cell r="F177" t="str">
            <v>WOMEN</v>
          </cell>
          <cell r="G177" t="str">
            <v>TOPS</v>
          </cell>
          <cell r="H177" t="str">
            <v>WOMEN</v>
          </cell>
          <cell r="I177" t="str">
            <v>CASUAL SHIRTS</v>
          </cell>
          <cell r="J177" t="str">
            <v>COMPETITION SHIRTS LONG SLEEVE</v>
          </cell>
          <cell r="K177" t="str">
            <v>WOMEN'S LONG SLEEVE CASUAL SHIRT</v>
          </cell>
          <cell r="L177" t="str">
            <v xml:space="preserve">The fashion style meets the arena.
Made from natural cotton fabric with a touch of technicality and elasticity, this special item is a strong candidate for being one of your favorite shirts. 
Both in and out of the arena! </v>
          </cell>
          <cell r="M177" t="str">
            <v>* Specially engineered design for high performance
* Natural cotton fabric with technical nylon and elasthan
* Soft and comfortable
* Wrinkle-resistant
* Quick dry
Composition:
74% Cotton   23% Poliamide   3%Elasthane</v>
          </cell>
          <cell r="N177" t="str">
            <v>Machine Wash at 30°C
Mild process
Iron at low temperature
Iron from REVERSE
Do NOT iron on logos or prints
Do not bleach
Do NOT Tumble Dry</v>
          </cell>
          <cell r="O177" t="str">
            <v>KADIN UZUN KOL CASUAL GÖMLEK</v>
          </cell>
        </row>
        <row r="178">
          <cell r="B178" t="str">
            <v>MARCELA</v>
          </cell>
          <cell r="C178" t="str">
            <v>WOMEN'S COMPETITION SHIRT BIB PANEL</v>
          </cell>
          <cell r="D178" t="str">
            <v>R.TOPWN_CPS</v>
          </cell>
          <cell r="E178" t="str">
            <v>RIDER</v>
          </cell>
          <cell r="F178" t="str">
            <v>WOMEN</v>
          </cell>
          <cell r="G178" t="str">
            <v>TOPS</v>
          </cell>
          <cell r="H178" t="str">
            <v>WOMEN</v>
          </cell>
          <cell r="I178" t="str">
            <v>COMPETITION SHIRTS</v>
          </cell>
          <cell r="J178" t="str">
            <v>COMPETITION SHIRTS LONG SLEEVE</v>
          </cell>
          <cell r="K178" t="str">
            <v>WOMEN'S COMPETITION SHIRT BIB PANEL</v>
          </cell>
          <cell r="L178" t="str">
            <v>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ell>
          <cell r="M178" t="str">
            <v>* Specially engineered design for high performance
* 4-way super stretch piquet jersey
* Soft and comfortable
* Breathable
* Quick dry
Composition:
95% Poliamide 5% Elasthane</v>
          </cell>
          <cell r="N178" t="str">
            <v>Machine Wash at 30°C
Mild process
Iron at low temperature
Iron from REVERSE
Do NOT iron on logos or prints
Do not bleach
Do NOT Tumble Dry</v>
          </cell>
          <cell r="O178" t="str">
            <v>KADIN ÖN PANELLİ YARIŞMA GÖMLEĞİ</v>
          </cell>
        </row>
        <row r="179">
          <cell r="B179" t="str">
            <v>MARYLAND</v>
          </cell>
          <cell r="C179"/>
          <cell r="D179" t="str">
            <v/>
          </cell>
          <cell r="E179"/>
          <cell r="F179"/>
          <cell r="G179"/>
          <cell r="H179"/>
          <cell r="I179"/>
          <cell r="J179">
            <v>0</v>
          </cell>
          <cell r="K179" t="str">
            <v/>
          </cell>
          <cell r="L179"/>
          <cell r="M179"/>
          <cell r="N179"/>
          <cell r="O179"/>
        </row>
        <row r="180">
          <cell r="B180" t="str">
            <v>MELBOURNE</v>
          </cell>
          <cell r="C180"/>
          <cell r="D180" t="str">
            <v/>
          </cell>
          <cell r="E180"/>
          <cell r="F180"/>
          <cell r="G180"/>
          <cell r="H180"/>
          <cell r="I180"/>
          <cell r="J180">
            <v>0</v>
          </cell>
          <cell r="K180" t="str">
            <v/>
          </cell>
          <cell r="L180"/>
          <cell r="M180"/>
          <cell r="N180"/>
          <cell r="O180"/>
        </row>
        <row r="181">
          <cell r="B181" t="str">
            <v>MILANO</v>
          </cell>
          <cell r="C181" t="str">
            <v>MEN'S COMPETITION SHIRT LONG SLEEVE SPREAD COLLAR</v>
          </cell>
          <cell r="D181" t="str">
            <v>R.TOPMN_CPS</v>
          </cell>
          <cell r="E181" t="str">
            <v>RIDER</v>
          </cell>
          <cell r="F181" t="str">
            <v>MEN</v>
          </cell>
          <cell r="G181" t="str">
            <v>TOPS</v>
          </cell>
          <cell r="H181" t="str">
            <v>MEN</v>
          </cell>
          <cell r="I181" t="str">
            <v>COMPETITION SHIRTS</v>
          </cell>
          <cell r="J181" t="str">
            <v>COMPETITION SHIRTS LONG SLEEVE</v>
          </cell>
          <cell r="K181" t="str">
            <v>MEN'S COMPETITION SHIRT LONG SLEEVE SPREAD COLLAR</v>
          </cell>
          <cell r="L181" t="str">
            <v>The fashion style meets the arena. Developed in parallel to the high fashion brands' "tech series" these shirts are made with high quality technical fabric to match up to your high performance needs during shows.
The special polyamide jersey fabric will move with your body in such a harmony that you will hardly feel its existence.
Last but not least, you can wear them both in daily life and in the arena.</v>
          </cell>
          <cell r="M181" t="str">
            <v>* Specially engineered design for high performance
* 4-way super stretch piquet jersey
* Soft and comfortable
* Breathable
* Quick dry
Composition:
75% Poliamide 25% Elasthane</v>
          </cell>
          <cell r="N181" t="str">
            <v>Machine Wash at 30°C
Mild process
Iron at low temperature
Iron from REVERSE
Do NOT iron on logos or prints
Do not bleach
Do NOT Tumble Dry</v>
          </cell>
          <cell r="O181" t="str">
            <v>ERKEK UZUN KOL YARIŞMA GÖMLEĞİ - AÇIK YAKA</v>
          </cell>
        </row>
        <row r="182">
          <cell r="B182" t="str">
            <v>MESSINA</v>
          </cell>
          <cell r="C182"/>
          <cell r="D182" t="str">
            <v/>
          </cell>
          <cell r="E182"/>
          <cell r="F182"/>
          <cell r="G182"/>
          <cell r="H182"/>
          <cell r="I182"/>
          <cell r="J182">
            <v>0</v>
          </cell>
          <cell r="K182" t="str">
            <v/>
          </cell>
          <cell r="L182"/>
          <cell r="M182"/>
          <cell r="N182"/>
          <cell r="O182"/>
        </row>
        <row r="183">
          <cell r="B183" t="str">
            <v>MEXICO C.</v>
          </cell>
          <cell r="C183"/>
          <cell r="D183" t="str">
            <v/>
          </cell>
          <cell r="E183"/>
          <cell r="F183"/>
          <cell r="G183"/>
          <cell r="H183"/>
          <cell r="I183"/>
          <cell r="J183">
            <v>0</v>
          </cell>
          <cell r="K183" t="str">
            <v/>
          </cell>
          <cell r="L183"/>
          <cell r="M183"/>
          <cell r="N183"/>
          <cell r="O183"/>
        </row>
        <row r="184">
          <cell r="B184" t="str">
            <v>MIAMI</v>
          </cell>
          <cell r="C184" t="str">
            <v>MEN'S COMPETITION POLO SHORT SLEEVE</v>
          </cell>
          <cell r="D184" t="str">
            <v>R.TOPMN_CPL</v>
          </cell>
          <cell r="E184" t="str">
            <v>RIDER</v>
          </cell>
          <cell r="F184" t="str">
            <v>MEN</v>
          </cell>
          <cell r="G184" t="str">
            <v>TOPS</v>
          </cell>
          <cell r="H184" t="str">
            <v>MEN</v>
          </cell>
          <cell r="I184" t="str">
            <v>COMPETITION POLOS</v>
          </cell>
          <cell r="J184" t="str">
            <v>COMPETITION POLO SHORT SLEEVE</v>
          </cell>
          <cell r="K184" t="str">
            <v>MEN'S COMPETITION POLO SHORT SLEEVE</v>
          </cell>
          <cell r="L184"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84" t="str">
            <v>* Specially engineered design for high performance
* 4-way super stretch piquet jersey
* Soft and comfortable
* Breathable
* Quick dry
Composition:
95% Poliamide 5% Elasthane</v>
          </cell>
          <cell r="N184" t="str">
            <v>Machine Wash at 30°C
Mild process
Iron at low temperature
Iron from REVERSE
Do NOT iron on logos or prints
Do not bleach
Do NOT Tumble Dry</v>
          </cell>
          <cell r="O184" t="str">
            <v>ERKEK KISA KOL YARIŞMA POLO</v>
          </cell>
        </row>
        <row r="185">
          <cell r="B185" t="str">
            <v>MIAMI-JR</v>
          </cell>
          <cell r="C185" t="str">
            <v>BOY'S COMPETITION POLO SHORT SLEEVE</v>
          </cell>
          <cell r="D185" t="str">
            <v>R.TOPKB_CPL</v>
          </cell>
          <cell r="E185" t="str">
            <v>RIDER</v>
          </cell>
          <cell r="F185" t="str">
            <v>JUNIOR</v>
          </cell>
          <cell r="G185" t="str">
            <v>TOPS</v>
          </cell>
          <cell r="H185" t="str">
            <v>KIDS BOY</v>
          </cell>
          <cell r="I185" t="str">
            <v>COMPETITION POLOS</v>
          </cell>
          <cell r="J185" t="str">
            <v>COMPETITION POLO SHORT SLEEVE</v>
          </cell>
          <cell r="K185" t="str">
            <v>BOY'S COMPETITION POLO SHORT SLEEVE</v>
          </cell>
          <cell r="L185"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185" t="str">
            <v>* Specially engineered design for high performance
* 4-way super stretch piquet jersey
* Soft and comfortable
* Breathable
* Quick dry
Composition:
95% Poliamide 5% Elasthane</v>
          </cell>
          <cell r="N185" t="str">
            <v>Machine Wash at 30°C
Mild process
Iron at low temperature
Iron from REVERSE
Do NOT iron on logos or prints
Do not bleach
Do NOT Tumble Dry</v>
          </cell>
          <cell r="O185" t="str">
            <v>ERKEK ÇOCUK KISA KOL YARIŞMA POLO</v>
          </cell>
        </row>
        <row r="186">
          <cell r="B186" t="str">
            <v>MICHIGAN</v>
          </cell>
          <cell r="C186"/>
          <cell r="D186" t="str">
            <v/>
          </cell>
          <cell r="E186"/>
          <cell r="F186"/>
          <cell r="G186"/>
          <cell r="H186"/>
          <cell r="I186"/>
          <cell r="J186">
            <v>0</v>
          </cell>
          <cell r="K186" t="str">
            <v/>
          </cell>
          <cell r="L186"/>
          <cell r="M186"/>
          <cell r="N186"/>
          <cell r="O186"/>
        </row>
        <row r="187">
          <cell r="B187" t="str">
            <v>MENDERISO</v>
          </cell>
          <cell r="C187"/>
          <cell r="D187" t="str">
            <v/>
          </cell>
          <cell r="E187"/>
          <cell r="F187"/>
          <cell r="G187"/>
          <cell r="H187"/>
          <cell r="I187"/>
          <cell r="J187">
            <v>0</v>
          </cell>
          <cell r="K187" t="str">
            <v/>
          </cell>
          <cell r="L187"/>
          <cell r="M187"/>
          <cell r="N187"/>
          <cell r="O187"/>
        </row>
        <row r="188">
          <cell r="B188" t="str">
            <v>MINNESOTA</v>
          </cell>
          <cell r="C188"/>
          <cell r="D188" t="str">
            <v/>
          </cell>
          <cell r="E188"/>
          <cell r="F188"/>
          <cell r="G188"/>
          <cell r="H188"/>
          <cell r="I188"/>
          <cell r="J188">
            <v>0</v>
          </cell>
          <cell r="K188" t="str">
            <v/>
          </cell>
          <cell r="L188"/>
          <cell r="M188"/>
          <cell r="N188"/>
          <cell r="O188"/>
        </row>
        <row r="189">
          <cell r="B189" t="str">
            <v>MISSISSIPPI</v>
          </cell>
          <cell r="C189"/>
          <cell r="D189" t="str">
            <v/>
          </cell>
          <cell r="E189"/>
          <cell r="F189"/>
          <cell r="G189"/>
          <cell r="H189"/>
          <cell r="I189"/>
          <cell r="J189">
            <v>0</v>
          </cell>
          <cell r="K189" t="str">
            <v/>
          </cell>
          <cell r="L189"/>
          <cell r="M189"/>
          <cell r="N189"/>
          <cell r="O189"/>
        </row>
        <row r="190">
          <cell r="B190" t="str">
            <v>MISSOURI</v>
          </cell>
          <cell r="C190"/>
          <cell r="D190" t="str">
            <v/>
          </cell>
          <cell r="E190"/>
          <cell r="F190"/>
          <cell r="G190"/>
          <cell r="H190"/>
          <cell r="I190"/>
          <cell r="J190">
            <v>0</v>
          </cell>
          <cell r="K190" t="str">
            <v/>
          </cell>
          <cell r="L190"/>
          <cell r="M190"/>
          <cell r="N190"/>
          <cell r="O190"/>
        </row>
        <row r="191">
          <cell r="B191" t="str">
            <v>MODENA</v>
          </cell>
          <cell r="C191"/>
          <cell r="D191" t="str">
            <v/>
          </cell>
          <cell r="E191"/>
          <cell r="F191"/>
          <cell r="G191"/>
          <cell r="H191"/>
          <cell r="I191"/>
          <cell r="J191">
            <v>0</v>
          </cell>
          <cell r="K191" t="str">
            <v/>
          </cell>
          <cell r="L191"/>
          <cell r="M191"/>
          <cell r="N191"/>
          <cell r="O191"/>
        </row>
        <row r="192">
          <cell r="B192" t="str">
            <v>MONACO</v>
          </cell>
          <cell r="C192"/>
          <cell r="D192" t="str">
            <v/>
          </cell>
          <cell r="E192"/>
          <cell r="F192"/>
          <cell r="G192"/>
          <cell r="H192"/>
          <cell r="I192"/>
          <cell r="J192">
            <v>0</v>
          </cell>
          <cell r="K192" t="str">
            <v/>
          </cell>
          <cell r="L192"/>
          <cell r="M192"/>
          <cell r="N192"/>
          <cell r="O192"/>
        </row>
        <row r="193">
          <cell r="B193" t="str">
            <v>MONT BLANC</v>
          </cell>
          <cell r="C193"/>
          <cell r="D193" t="str">
            <v/>
          </cell>
          <cell r="E193"/>
          <cell r="F193"/>
          <cell r="G193"/>
          <cell r="H193"/>
          <cell r="I193"/>
          <cell r="J193">
            <v>0</v>
          </cell>
          <cell r="K193" t="str">
            <v/>
          </cell>
          <cell r="L193"/>
          <cell r="M193"/>
          <cell r="N193"/>
          <cell r="O193"/>
        </row>
        <row r="194">
          <cell r="B194" t="str">
            <v>MONTANA</v>
          </cell>
          <cell r="C194" t="str">
            <v>MEN'S SOFT TRAINING POLO SHORT SLEEVE</v>
          </cell>
          <cell r="D194" t="str">
            <v>R.TOPMN_SPL</v>
          </cell>
          <cell r="E194" t="str">
            <v>RIDER</v>
          </cell>
          <cell r="F194" t="str">
            <v>MEN</v>
          </cell>
          <cell r="G194" t="str">
            <v>TOPS</v>
          </cell>
          <cell r="H194" t="str">
            <v>MEN</v>
          </cell>
          <cell r="I194" t="str">
            <v>SOFT POLOS</v>
          </cell>
          <cell r="J194" t="str">
            <v>SOFT POLO SHORT SLEEVE</v>
          </cell>
          <cell r="K194" t="str">
            <v>MEN'S SOFT TRAINING POLO SHORT SLEEVE</v>
          </cell>
          <cell r="L194" t="str">
            <v>Men's Short Sleeve Soft Training Polo
Thanks to its soft and natural fiber fabric our soft polos are ideal for daily training</v>
          </cell>
          <cell r="M194" t="str">
            <v>Bi-color Piquet Fabric
Embroidery dressing
Composition:
100% Cotton</v>
          </cell>
          <cell r="N194" t="str">
            <v>Machine Wash at 30°C
Mild process
Iron at low temperature
Iron from REVERSE
Do NOT iron on logos or prints
Do not bleach
Do NOT Tumble Dry</v>
          </cell>
          <cell r="O194" t="str">
            <v xml:space="preserve">ERKEK KISA KOL SOFT ANTRENMAN POLO </v>
          </cell>
        </row>
        <row r="195">
          <cell r="B195" t="str">
            <v>MONTE CARLO</v>
          </cell>
          <cell r="C195"/>
          <cell r="D195" t="str">
            <v/>
          </cell>
          <cell r="E195"/>
          <cell r="F195"/>
          <cell r="G195"/>
          <cell r="H195"/>
          <cell r="I195"/>
          <cell r="J195">
            <v>0</v>
          </cell>
          <cell r="K195" t="str">
            <v/>
          </cell>
          <cell r="L195"/>
          <cell r="M195"/>
          <cell r="N195"/>
          <cell r="O195"/>
        </row>
        <row r="196">
          <cell r="B196" t="str">
            <v>MONTE NEGRO</v>
          </cell>
          <cell r="C196" t="str">
            <v>MEN'S SWEAT JUMPER</v>
          </cell>
          <cell r="D196" t="str">
            <v>R.S&amp;JMN_JMP</v>
          </cell>
          <cell r="E196" t="str">
            <v>RIDER</v>
          </cell>
          <cell r="F196" t="str">
            <v>MEN</v>
          </cell>
          <cell r="G196" t="str">
            <v>SWEATS &amp; JUMPERS</v>
          </cell>
          <cell r="H196" t="str">
            <v>MEN</v>
          </cell>
          <cell r="I196" t="str">
            <v>JUMPERS</v>
          </cell>
          <cell r="J196" t="str">
            <v>JUMPERS</v>
          </cell>
          <cell r="K196" t="str">
            <v>MEN'S SWEAT JUMPER</v>
          </cell>
          <cell r="L196" t="str">
            <v>One of the most liked products from our winter outerwear category
Our sweat jumpers are brushed on the inside to kee you warmer and they come with a great fit and style</v>
          </cell>
          <cell r="M196" t="str">
            <v>*Brushed high quality felpa fabric
*Tailored fit
Composition:
100% Cotton</v>
          </cell>
          <cell r="N196" t="str">
            <v>Machine Wash at 30°C
Mild process
Do not bleach
Do NOT Tumble Dry</v>
          </cell>
          <cell r="O196" t="str">
            <v>ERKEK SWEAT HIRKA</v>
          </cell>
        </row>
        <row r="197">
          <cell r="B197" t="str">
            <v>MONTERREY</v>
          </cell>
          <cell r="C197" t="str">
            <v>SEASONAL STABLE RUG</v>
          </cell>
          <cell r="D197" t="str">
            <v>H.RUGFL_STR</v>
          </cell>
          <cell r="E197" t="str">
            <v>HORSE</v>
          </cell>
          <cell r="F197" t="str">
            <v>HORSE</v>
          </cell>
          <cell r="G197" t="str">
            <v>RUGS</v>
          </cell>
          <cell r="H197" t="str">
            <v>FULL</v>
          </cell>
          <cell r="I197" t="str">
            <v>STABLE RUGS</v>
          </cell>
          <cell r="J197" t="str">
            <v>STABLE RUGS</v>
          </cell>
          <cell r="K197" t="str">
            <v>SEASONAL STABLE RUG</v>
          </cell>
          <cell r="L197" t="str">
            <v>Seasonal Stable Rug - 0 GR.
Ideal for transition seasons especially in fall and early spring.
When the weather is chilling enough for horse to feel the cold, but not cold enough to put the winter rugs on.</v>
          </cell>
          <cell r="M197" t="str">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ell>
          <cell r="N197" t="str">
            <v>Industrial washing is recommended</v>
          </cell>
          <cell r="O197" t="str">
            <v>MEVSİMLİK AHIR BLANKETİ</v>
          </cell>
        </row>
        <row r="198">
          <cell r="B198" t="str">
            <v>MONTERREY-P</v>
          </cell>
          <cell r="C198" t="str">
            <v>SEASONAL STABLE RUG</v>
          </cell>
          <cell r="D198" t="str">
            <v>H.RUGPN_STR</v>
          </cell>
          <cell r="E198" t="str">
            <v>HORSE</v>
          </cell>
          <cell r="F198" t="str">
            <v>PONY</v>
          </cell>
          <cell r="G198" t="str">
            <v>RUGS</v>
          </cell>
          <cell r="H198" t="str">
            <v>PONY</v>
          </cell>
          <cell r="I198" t="str">
            <v>STABLE RUGS</v>
          </cell>
          <cell r="J198" t="str">
            <v>STABLE RUGS</v>
          </cell>
          <cell r="K198" t="str">
            <v>PONY - SEASONAL STABLE RUG</v>
          </cell>
          <cell r="L198" t="str">
            <v>Pony Seasonal Stable Rug - 0 GR.
Ideal for transition seasons especially in fall and early spring.
When the weather is chilling enough for horse to feel the cold, but not cold enough to put the winter rugs on.</v>
          </cell>
          <cell r="M198" t="str">
            <v xml:space="preserve">*Water-repellent soft shell fabric
*Soft, suede and skin-friendly lining fabric
*0 GR - No filling
*Custom pattern to match your horses anatomy
*Adjustable shoulder straps for better fitting 
*Non-breakable metal claps
Composition:
Shell fabric: 100% Polyester
Lining: 100% Polyester Suede
</v>
          </cell>
          <cell r="N198" t="str">
            <v>Industrial washing is recommended</v>
          </cell>
          <cell r="O198" t="str">
            <v>MEVSİMLİK PONY AHIR BLANKETİ</v>
          </cell>
        </row>
        <row r="199">
          <cell r="B199" t="str">
            <v>MONTEVIDEO</v>
          </cell>
          <cell r="C199"/>
          <cell r="D199" t="str">
            <v/>
          </cell>
          <cell r="E199"/>
          <cell r="F199"/>
          <cell r="G199"/>
          <cell r="H199"/>
          <cell r="I199"/>
          <cell r="J199">
            <v>0</v>
          </cell>
          <cell r="K199" t="str">
            <v/>
          </cell>
          <cell r="L199"/>
          <cell r="M199"/>
          <cell r="N199"/>
          <cell r="O199"/>
        </row>
        <row r="200">
          <cell r="B200" t="str">
            <v>MONZA</v>
          </cell>
          <cell r="C200"/>
          <cell r="D200" t="str">
            <v/>
          </cell>
          <cell r="E200"/>
          <cell r="F200"/>
          <cell r="G200"/>
          <cell r="H200"/>
          <cell r="I200"/>
          <cell r="J200">
            <v>0</v>
          </cell>
          <cell r="K200" t="str">
            <v/>
          </cell>
          <cell r="L200"/>
          <cell r="M200"/>
          <cell r="N200"/>
          <cell r="O200"/>
        </row>
        <row r="201">
          <cell r="B201" t="str">
            <v>MOSCOW</v>
          </cell>
          <cell r="C201"/>
          <cell r="D201" t="str">
            <v/>
          </cell>
          <cell r="E201"/>
          <cell r="F201"/>
          <cell r="G201"/>
          <cell r="H201"/>
          <cell r="I201"/>
          <cell r="J201">
            <v>0</v>
          </cell>
          <cell r="K201" t="str">
            <v/>
          </cell>
          <cell r="L201"/>
          <cell r="M201"/>
          <cell r="N201"/>
          <cell r="O201"/>
        </row>
        <row r="202">
          <cell r="B202" t="str">
            <v>NANDO</v>
          </cell>
          <cell r="C202" t="str">
            <v>NAME TAG</v>
          </cell>
          <cell r="D202" t="str">
            <v>A.HACUX_TAG</v>
          </cell>
          <cell r="E202" t="str">
            <v>ACCESSORIES</v>
          </cell>
          <cell r="F202" t="str">
            <v>ACCESSORIES</v>
          </cell>
          <cell r="G202" t="str">
            <v>HORSE ACCESSORIES</v>
          </cell>
          <cell r="H202" t="str">
            <v>UNISEX</v>
          </cell>
          <cell r="I202" t="str">
            <v>NAME TAGS</v>
          </cell>
          <cell r="J202" t="str">
            <v>NAME TAGS</v>
          </cell>
          <cell r="K202" t="str">
            <v>NAME TAG</v>
          </cell>
          <cell r="L202" t="str">
            <v>Name Tag with embroidery
Pick what you want to write on your tag, whether it is your horse's name or yours, or even both 
Pick the emroidery color
and have the priviledge to distinguish your barn equipment from others.</v>
          </cell>
          <cell r="M202" t="str">
            <v>* Custom and free text selection
* A wide range of emroidery color selection
*Written on a 100% polyester ribbon tag
*Easy on swivel hook</v>
          </cell>
          <cell r="N202" t="str">
            <v>Do not wash in washing machine</v>
          </cell>
          <cell r="O202" t="str">
            <v>İSİM KÜNYESİ</v>
          </cell>
        </row>
        <row r="203">
          <cell r="B203" t="str">
            <v>NANTES</v>
          </cell>
          <cell r="C203"/>
          <cell r="D203" t="str">
            <v/>
          </cell>
          <cell r="E203"/>
          <cell r="F203"/>
          <cell r="G203"/>
          <cell r="H203"/>
          <cell r="I203"/>
          <cell r="J203">
            <v>0</v>
          </cell>
          <cell r="K203" t="str">
            <v/>
          </cell>
          <cell r="L203"/>
          <cell r="M203"/>
          <cell r="N203"/>
          <cell r="O203"/>
        </row>
        <row r="204">
          <cell r="B204" t="str">
            <v>NAPOLI</v>
          </cell>
          <cell r="C204" t="str">
            <v>MEN'S COMPETITION SHIRT LONG SLEEVE SPREAD COLLAR</v>
          </cell>
          <cell r="D204" t="str">
            <v>R.TOPMN_CPS</v>
          </cell>
          <cell r="E204" t="str">
            <v>RIDER</v>
          </cell>
          <cell r="F204" t="str">
            <v>MEN</v>
          </cell>
          <cell r="G204" t="str">
            <v>TOPS</v>
          </cell>
          <cell r="H204" t="str">
            <v>MEN</v>
          </cell>
          <cell r="I204" t="str">
            <v>COMPETITION SHIRTS</v>
          </cell>
          <cell r="J204" t="str">
            <v>COMPETITION SHIRTS LONG SLEEVE</v>
          </cell>
          <cell r="K204" t="str">
            <v>MEN'S COMPETITION SHIRT LONG SLEEVE SPREAD COLLAR</v>
          </cell>
          <cell r="L204" t="str">
            <v xml:space="preserve">The fashion style meets the arena.
Made from natural cotton fabric with a touch of technicality and elasticity, this special item is a strong candidate for being one of your favorite shirts. 
Both in and out of the arena! </v>
          </cell>
          <cell r="M204" t="str">
            <v>* Specially engineered design for high performance
* Natural cotton fabric with technical nylon and elasthan
* Soft and comfortable
* Wrinkle-resistant
* Quick dry
Composition:
74% Cotton   23% Poliamide   3%Elasthane</v>
          </cell>
          <cell r="N204" t="str">
            <v>Machine Wash at 30°C
Mild process
Iron at low temperature
Iron from REVERSE
Do NOT iron on logos or prints
Do not bleach
Do NOT Tumble Dry</v>
          </cell>
          <cell r="O204" t="str">
            <v>ERKEK UZUN KOL YARIŞMA GÖMLEĞİ - AÇIK YAKA</v>
          </cell>
        </row>
        <row r="205">
          <cell r="B205" t="str">
            <v>NEBRASKA</v>
          </cell>
          <cell r="C205"/>
          <cell r="D205" t="str">
            <v/>
          </cell>
          <cell r="E205"/>
          <cell r="F205"/>
          <cell r="G205"/>
          <cell r="H205"/>
          <cell r="I205"/>
          <cell r="J205">
            <v>0</v>
          </cell>
          <cell r="K205" t="str">
            <v/>
          </cell>
          <cell r="L205"/>
          <cell r="M205"/>
          <cell r="N205"/>
          <cell r="O205"/>
        </row>
        <row r="206">
          <cell r="B206" t="str">
            <v>NEPAL</v>
          </cell>
          <cell r="C206"/>
          <cell r="D206" t="str">
            <v/>
          </cell>
          <cell r="E206"/>
          <cell r="F206"/>
          <cell r="G206"/>
          <cell r="H206"/>
          <cell r="I206"/>
          <cell r="J206">
            <v>0</v>
          </cell>
          <cell r="K206" t="str">
            <v/>
          </cell>
          <cell r="L206"/>
          <cell r="M206"/>
          <cell r="N206"/>
          <cell r="O206"/>
        </row>
        <row r="207">
          <cell r="B207" t="str">
            <v>NEVADA</v>
          </cell>
          <cell r="C207"/>
          <cell r="D207" t="str">
            <v/>
          </cell>
          <cell r="E207"/>
          <cell r="F207"/>
          <cell r="G207"/>
          <cell r="H207"/>
          <cell r="I207"/>
          <cell r="J207">
            <v>0</v>
          </cell>
          <cell r="K207" t="str">
            <v/>
          </cell>
          <cell r="L207"/>
          <cell r="M207"/>
          <cell r="N207"/>
          <cell r="O207"/>
        </row>
        <row r="208">
          <cell r="B208" t="str">
            <v>NEW HAMPSHIRE</v>
          </cell>
          <cell r="C208"/>
          <cell r="D208" t="str">
            <v/>
          </cell>
          <cell r="E208"/>
          <cell r="F208"/>
          <cell r="G208"/>
          <cell r="H208"/>
          <cell r="I208"/>
          <cell r="J208">
            <v>0</v>
          </cell>
          <cell r="K208" t="str">
            <v/>
          </cell>
          <cell r="L208"/>
          <cell r="M208"/>
          <cell r="N208"/>
          <cell r="O208"/>
        </row>
        <row r="209">
          <cell r="B209" t="str">
            <v>NEW JERSEY</v>
          </cell>
          <cell r="C209"/>
          <cell r="D209" t="str">
            <v/>
          </cell>
          <cell r="E209"/>
          <cell r="F209"/>
          <cell r="G209"/>
          <cell r="H209"/>
          <cell r="I209"/>
          <cell r="J209">
            <v>0</v>
          </cell>
          <cell r="K209" t="str">
            <v/>
          </cell>
          <cell r="L209"/>
          <cell r="M209"/>
          <cell r="N209"/>
          <cell r="O209"/>
        </row>
        <row r="210">
          <cell r="B210" t="str">
            <v>NEW MEXICO</v>
          </cell>
          <cell r="C210"/>
          <cell r="D210" t="str">
            <v/>
          </cell>
          <cell r="E210"/>
          <cell r="F210"/>
          <cell r="G210"/>
          <cell r="H210"/>
          <cell r="I210"/>
          <cell r="J210">
            <v>0</v>
          </cell>
          <cell r="K210" t="str">
            <v/>
          </cell>
          <cell r="L210"/>
          <cell r="M210"/>
          <cell r="N210"/>
          <cell r="O210"/>
        </row>
        <row r="211">
          <cell r="B211" t="str">
            <v>NEW ORLEANS</v>
          </cell>
          <cell r="C211"/>
          <cell r="D211" t="str">
            <v/>
          </cell>
          <cell r="E211"/>
          <cell r="F211"/>
          <cell r="G211"/>
          <cell r="H211"/>
          <cell r="I211"/>
          <cell r="J211">
            <v>0</v>
          </cell>
          <cell r="K211" t="str">
            <v/>
          </cell>
          <cell r="L211"/>
          <cell r="M211"/>
          <cell r="N211"/>
          <cell r="O211"/>
        </row>
        <row r="212">
          <cell r="B212" t="str">
            <v>NEW YORK</v>
          </cell>
          <cell r="C212"/>
          <cell r="D212" t="str">
            <v/>
          </cell>
          <cell r="E212"/>
          <cell r="F212"/>
          <cell r="G212"/>
          <cell r="H212"/>
          <cell r="I212"/>
          <cell r="J212">
            <v>0</v>
          </cell>
          <cell r="K212" t="str">
            <v/>
          </cell>
          <cell r="L212"/>
          <cell r="M212"/>
          <cell r="N212"/>
          <cell r="O212"/>
        </row>
        <row r="213">
          <cell r="B213" t="str">
            <v>NEWARK</v>
          </cell>
          <cell r="C213"/>
          <cell r="D213" t="str">
            <v/>
          </cell>
          <cell r="E213"/>
          <cell r="F213"/>
          <cell r="G213"/>
          <cell r="H213"/>
          <cell r="I213"/>
          <cell r="J213">
            <v>0</v>
          </cell>
          <cell r="K213" t="str">
            <v/>
          </cell>
          <cell r="L213"/>
          <cell r="M213"/>
          <cell r="N213"/>
          <cell r="O213"/>
        </row>
        <row r="214">
          <cell r="B214" t="str">
            <v>NEWCASTLE</v>
          </cell>
          <cell r="C214"/>
          <cell r="D214" t="str">
            <v/>
          </cell>
          <cell r="E214"/>
          <cell r="F214"/>
          <cell r="G214"/>
          <cell r="H214"/>
          <cell r="I214"/>
          <cell r="J214">
            <v>0</v>
          </cell>
          <cell r="K214" t="str">
            <v/>
          </cell>
          <cell r="L214"/>
          <cell r="M214"/>
          <cell r="N214"/>
          <cell r="O214"/>
        </row>
        <row r="215">
          <cell r="B215" t="str">
            <v>NORWICH</v>
          </cell>
          <cell r="C215"/>
          <cell r="D215" t="str">
            <v/>
          </cell>
          <cell r="E215"/>
          <cell r="F215"/>
          <cell r="G215"/>
          <cell r="H215"/>
          <cell r="I215"/>
          <cell r="J215">
            <v>0</v>
          </cell>
          <cell r="K215" t="str">
            <v/>
          </cell>
          <cell r="L215"/>
          <cell r="M215"/>
          <cell r="N215"/>
          <cell r="O215"/>
        </row>
        <row r="216">
          <cell r="B216" t="str">
            <v>NOTTINGHAM</v>
          </cell>
          <cell r="C216"/>
          <cell r="D216" t="str">
            <v/>
          </cell>
          <cell r="E216"/>
          <cell r="F216"/>
          <cell r="G216"/>
          <cell r="H216"/>
          <cell r="I216"/>
          <cell r="J216">
            <v>0</v>
          </cell>
          <cell r="K216" t="str">
            <v/>
          </cell>
          <cell r="L216"/>
          <cell r="M216"/>
          <cell r="N216"/>
          <cell r="O216"/>
        </row>
        <row r="217">
          <cell r="B217" t="str">
            <v>NOVARA</v>
          </cell>
          <cell r="C217"/>
          <cell r="D217" t="str">
            <v/>
          </cell>
          <cell r="E217"/>
          <cell r="F217"/>
          <cell r="G217"/>
          <cell r="H217"/>
          <cell r="I217"/>
          <cell r="J217">
            <v>0</v>
          </cell>
          <cell r="K217" t="str">
            <v/>
          </cell>
          <cell r="L217"/>
          <cell r="M217"/>
          <cell r="N217"/>
          <cell r="O217"/>
        </row>
        <row r="218">
          <cell r="B218" t="str">
            <v>OAKMONT</v>
          </cell>
          <cell r="C218"/>
          <cell r="D218" t="str">
            <v/>
          </cell>
          <cell r="E218"/>
          <cell r="F218"/>
          <cell r="G218"/>
          <cell r="H218"/>
          <cell r="I218"/>
          <cell r="J218">
            <v>0</v>
          </cell>
          <cell r="K218" t="str">
            <v/>
          </cell>
          <cell r="L218"/>
          <cell r="M218"/>
          <cell r="N218"/>
          <cell r="O218"/>
        </row>
        <row r="219">
          <cell r="B219" t="str">
            <v>ODESA</v>
          </cell>
          <cell r="C219"/>
          <cell r="D219" t="str">
            <v/>
          </cell>
          <cell r="E219"/>
          <cell r="F219"/>
          <cell r="G219"/>
          <cell r="H219"/>
          <cell r="I219"/>
          <cell r="J219">
            <v>0</v>
          </cell>
          <cell r="K219" t="str">
            <v/>
          </cell>
          <cell r="L219"/>
          <cell r="M219"/>
          <cell r="N219"/>
          <cell r="O219"/>
        </row>
        <row r="220">
          <cell r="B220" t="str">
            <v>OHIO</v>
          </cell>
          <cell r="C220"/>
          <cell r="D220" t="str">
            <v/>
          </cell>
          <cell r="E220"/>
          <cell r="F220"/>
          <cell r="G220"/>
          <cell r="H220"/>
          <cell r="I220"/>
          <cell r="J220">
            <v>0</v>
          </cell>
          <cell r="K220" t="str">
            <v/>
          </cell>
          <cell r="L220"/>
          <cell r="M220"/>
          <cell r="N220"/>
          <cell r="O220"/>
        </row>
        <row r="221">
          <cell r="B221" t="str">
            <v>OKLAHOMA</v>
          </cell>
          <cell r="C221"/>
          <cell r="D221" t="str">
            <v/>
          </cell>
          <cell r="E221"/>
          <cell r="F221"/>
          <cell r="G221"/>
          <cell r="H221"/>
          <cell r="I221"/>
          <cell r="J221">
            <v>0</v>
          </cell>
          <cell r="K221" t="str">
            <v/>
          </cell>
          <cell r="L221"/>
          <cell r="M221"/>
          <cell r="N221"/>
          <cell r="O221"/>
        </row>
        <row r="222">
          <cell r="B222" t="str">
            <v>OLBIA</v>
          </cell>
          <cell r="C222"/>
          <cell r="D222" t="str">
            <v/>
          </cell>
          <cell r="E222"/>
          <cell r="F222"/>
          <cell r="G222"/>
          <cell r="H222"/>
          <cell r="I222"/>
          <cell r="J222">
            <v>0</v>
          </cell>
          <cell r="K222" t="str">
            <v/>
          </cell>
          <cell r="L222"/>
          <cell r="M222"/>
          <cell r="N222"/>
          <cell r="O222"/>
        </row>
        <row r="223">
          <cell r="B223" t="str">
            <v>OREGON</v>
          </cell>
          <cell r="C223"/>
          <cell r="D223" t="str">
            <v/>
          </cell>
          <cell r="E223"/>
          <cell r="F223"/>
          <cell r="G223"/>
          <cell r="H223"/>
          <cell r="I223"/>
          <cell r="J223">
            <v>0</v>
          </cell>
          <cell r="K223" t="str">
            <v/>
          </cell>
          <cell r="L223"/>
          <cell r="M223"/>
          <cell r="N223"/>
          <cell r="O223"/>
        </row>
        <row r="224">
          <cell r="B224" t="str">
            <v>ORLANDO</v>
          </cell>
          <cell r="C224"/>
          <cell r="D224" t="str">
            <v/>
          </cell>
          <cell r="E224"/>
          <cell r="F224"/>
          <cell r="G224"/>
          <cell r="H224"/>
          <cell r="I224"/>
          <cell r="J224">
            <v>0</v>
          </cell>
          <cell r="K224" t="str">
            <v/>
          </cell>
          <cell r="L224"/>
          <cell r="M224"/>
          <cell r="N224"/>
          <cell r="O224"/>
        </row>
        <row r="225">
          <cell r="B225" t="str">
            <v>OSLO</v>
          </cell>
          <cell r="C225" t="str">
            <v xml:space="preserve">MEN'S LONG SLEEVE BASE LAYER </v>
          </cell>
          <cell r="D225" t="str">
            <v>R.TOPMN_BLY</v>
          </cell>
          <cell r="E225" t="str">
            <v>RIDER</v>
          </cell>
          <cell r="F225" t="str">
            <v>MEN</v>
          </cell>
          <cell r="G225" t="str">
            <v>TOPS</v>
          </cell>
          <cell r="H225" t="str">
            <v>MEN</v>
          </cell>
          <cell r="I225" t="str">
            <v>BASE LAYERS</v>
          </cell>
          <cell r="J225" t="str">
            <v>BASE LAYERS</v>
          </cell>
          <cell r="K225" t="str">
            <v xml:space="preserve">MEN'S LONG SLEEVE BASE LAYER </v>
          </cell>
          <cell r="L225" t="str">
            <v xml:space="preserve">OSLO Two-color Long Sleeve Base Layer / Second Skin
Soft, comfortable and technical
These elegant base layers are designed to ride and train in style.
</v>
          </cell>
          <cell r="M225" t="str">
            <v>*Extra-soft and comfortable technical jersey
* 4-way stretch fabric
* Breathable and Quick Dry
* Wrinkle-free and Easy Care
Composition:
90% Polyamide 10% Elasthane</v>
          </cell>
          <cell r="N225" t="str">
            <v>Machine Wash at 30°C
Mild process
Iron at low temperature
Iron from REVERSE
Do NOT iron on logos or prints
Do not bleach
Do NOT Tumble Dry</v>
          </cell>
          <cell r="O225" t="str">
            <v>ERKEK UZUN KOL T-SHIRT</v>
          </cell>
        </row>
        <row r="226">
          <cell r="B226" t="str">
            <v>OTTAWA</v>
          </cell>
          <cell r="C226" t="str">
            <v>BEANIE</v>
          </cell>
          <cell r="D226" t="str">
            <v>A.RACAU_BEA</v>
          </cell>
          <cell r="E226" t="str">
            <v>ACCESSORIES</v>
          </cell>
          <cell r="F226" t="str">
            <v>ACCESSORIES</v>
          </cell>
          <cell r="G226" t="str">
            <v>RIDER ACCESSORIES</v>
          </cell>
          <cell r="H226" t="str">
            <v>ADULTS UNISEX</v>
          </cell>
          <cell r="I226" t="str">
            <v>BEANIES</v>
          </cell>
          <cell r="J226" t="str">
            <v>BEANIES</v>
          </cell>
          <cell r="K226" t="str">
            <v>BEANIE</v>
          </cell>
          <cell r="L226" t="str">
            <v>Winter hat/beanie with CSM patch logo</v>
          </cell>
          <cell r="M226" t="str">
            <v>Composition: 
100% Acrylic</v>
          </cell>
          <cell r="N226" t="str">
            <v>Machine wash 40 C
Do not iron
Do not bleach</v>
          </cell>
          <cell r="O226" t="str">
            <v>BERE ŞAPKA</v>
          </cell>
        </row>
        <row r="227">
          <cell r="B227" t="str">
            <v>OVIEDO</v>
          </cell>
          <cell r="C227"/>
          <cell r="D227" t="str">
            <v/>
          </cell>
          <cell r="E227"/>
          <cell r="F227"/>
          <cell r="G227"/>
          <cell r="H227"/>
          <cell r="I227"/>
          <cell r="J227">
            <v>0</v>
          </cell>
          <cell r="K227" t="str">
            <v/>
          </cell>
          <cell r="L227"/>
          <cell r="M227"/>
          <cell r="N227"/>
          <cell r="O227"/>
        </row>
        <row r="228">
          <cell r="B228" t="str">
            <v>OXFORD</v>
          </cell>
          <cell r="C228" t="str">
            <v>KNIT COMPETITION TIE</v>
          </cell>
          <cell r="D228" t="str">
            <v>A.RACMN_TIE</v>
          </cell>
          <cell r="E228" t="str">
            <v>ACCESSORIES</v>
          </cell>
          <cell r="F228" t="str">
            <v>ACCESSORIES</v>
          </cell>
          <cell r="G228" t="str">
            <v>RIDER ACCESSORIES</v>
          </cell>
          <cell r="H228" t="str">
            <v>MEN</v>
          </cell>
          <cell r="I228" t="str">
            <v>COMPETITION TIES</v>
          </cell>
          <cell r="J228" t="str">
            <v>COMPETITION TIES</v>
          </cell>
          <cell r="K228" t="str">
            <v>KNIT COMPETITION TIE</v>
          </cell>
          <cell r="L228" t="str">
            <v>Textured knit competition tie with printed 4 horses logo
Soft, elegant and comfortable
Matches perfectly with your SanMarco competition polos</v>
          </cell>
          <cell r="M228" t="str">
            <v>Composition:
100% Polyester</v>
          </cell>
          <cell r="N228" t="str">
            <v>Hand Wash at 30°C degrees
Dry Cleaning
Mild iron</v>
          </cell>
          <cell r="O228" t="str">
            <v>ÖRME YARIŞMA KRAVATI</v>
          </cell>
        </row>
        <row r="229">
          <cell r="B229" t="str">
            <v>PADOVA-JR</v>
          </cell>
          <cell r="C229" t="str">
            <v>GIRL'S COMPETITION POLO SHORT SLEEVE</v>
          </cell>
          <cell r="D229" t="str">
            <v>R.TOPKG_CPL</v>
          </cell>
          <cell r="E229" t="str">
            <v>RIDER</v>
          </cell>
          <cell r="F229" t="str">
            <v>JUNIOR</v>
          </cell>
          <cell r="G229" t="str">
            <v>TOPS</v>
          </cell>
          <cell r="H229" t="str">
            <v>KIDS GIRL</v>
          </cell>
          <cell r="I229" t="str">
            <v>COMPETITION POLOS</v>
          </cell>
          <cell r="J229" t="str">
            <v>COMPETITION POLO SHORT SLEEVE</v>
          </cell>
          <cell r="K229" t="str">
            <v>GIRL'S COMPETITION POLO SHORT SLEEVE</v>
          </cell>
          <cell r="L229"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29" t="str">
            <v>* Specially engineered design for high performance
* 4-way super stretch piquet jersey
* Soft and comfortable
* Breathable
* Quick dry
Composition:
95% Poliamide 5% Elasthane</v>
          </cell>
          <cell r="N229" t="str">
            <v>Machine Wash at 30°C
Mild process
Iron at low temperature
Iron from REVERSE
Do NOT iron on logos or prints
Do not bleach
Do NOT Tumble Dry</v>
          </cell>
          <cell r="O229" t="str">
            <v>KIZ ÇOCUK KISA KOL YARIŞMA POLO</v>
          </cell>
        </row>
        <row r="230">
          <cell r="B230" t="str">
            <v>PADOVA</v>
          </cell>
          <cell r="C230"/>
          <cell r="D230" t="str">
            <v/>
          </cell>
          <cell r="E230"/>
          <cell r="F230"/>
          <cell r="G230"/>
          <cell r="H230"/>
          <cell r="I230"/>
          <cell r="J230">
            <v>0</v>
          </cell>
          <cell r="K230" t="str">
            <v/>
          </cell>
          <cell r="L230"/>
          <cell r="M230"/>
          <cell r="N230"/>
          <cell r="O230"/>
        </row>
        <row r="231">
          <cell r="B231" t="str">
            <v>PALERMO</v>
          </cell>
          <cell r="C231"/>
          <cell r="D231" t="str">
            <v/>
          </cell>
          <cell r="E231"/>
          <cell r="F231"/>
          <cell r="G231"/>
          <cell r="H231"/>
          <cell r="I231"/>
          <cell r="J231">
            <v>0</v>
          </cell>
          <cell r="K231" t="str">
            <v/>
          </cell>
          <cell r="L231"/>
          <cell r="M231"/>
          <cell r="N231"/>
          <cell r="O231"/>
        </row>
        <row r="232">
          <cell r="B232" t="str">
            <v>PALM SPRINGS</v>
          </cell>
          <cell r="C232"/>
          <cell r="D232" t="str">
            <v/>
          </cell>
          <cell r="E232"/>
          <cell r="F232"/>
          <cell r="G232"/>
          <cell r="H232"/>
          <cell r="I232"/>
          <cell r="J232">
            <v>0</v>
          </cell>
          <cell r="K232" t="str">
            <v/>
          </cell>
          <cell r="L232"/>
          <cell r="M232"/>
          <cell r="N232"/>
          <cell r="O232"/>
        </row>
        <row r="233">
          <cell r="B233" t="str">
            <v>PALMA</v>
          </cell>
          <cell r="C233"/>
          <cell r="D233" t="str">
            <v/>
          </cell>
          <cell r="E233"/>
          <cell r="F233"/>
          <cell r="G233"/>
          <cell r="H233"/>
          <cell r="I233"/>
          <cell r="J233">
            <v>0</v>
          </cell>
          <cell r="K233" t="str">
            <v/>
          </cell>
          <cell r="L233"/>
          <cell r="M233"/>
          <cell r="N233"/>
          <cell r="O233"/>
        </row>
        <row r="234">
          <cell r="B234" t="str">
            <v>PALMARIA</v>
          </cell>
          <cell r="C234"/>
          <cell r="D234" t="str">
            <v/>
          </cell>
          <cell r="E234"/>
          <cell r="F234"/>
          <cell r="G234"/>
          <cell r="H234"/>
          <cell r="I234"/>
          <cell r="J234">
            <v>0</v>
          </cell>
          <cell r="K234" t="str">
            <v/>
          </cell>
          <cell r="L234"/>
          <cell r="M234"/>
          <cell r="N234"/>
          <cell r="O234"/>
        </row>
        <row r="235">
          <cell r="B235" t="str">
            <v>PALMAROLA</v>
          </cell>
          <cell r="C235"/>
          <cell r="D235" t="str">
            <v/>
          </cell>
          <cell r="E235"/>
          <cell r="F235"/>
          <cell r="G235"/>
          <cell r="H235"/>
          <cell r="I235"/>
          <cell r="J235">
            <v>0</v>
          </cell>
          <cell r="K235" t="str">
            <v/>
          </cell>
          <cell r="L235"/>
          <cell r="M235"/>
          <cell r="N235"/>
          <cell r="O235"/>
        </row>
        <row r="236">
          <cell r="B236" t="str">
            <v>PANAMA</v>
          </cell>
          <cell r="C236"/>
          <cell r="D236" t="str">
            <v/>
          </cell>
          <cell r="E236"/>
          <cell r="F236"/>
          <cell r="G236"/>
          <cell r="H236"/>
          <cell r="I236"/>
          <cell r="J236">
            <v>0</v>
          </cell>
          <cell r="K236" t="str">
            <v/>
          </cell>
          <cell r="L236"/>
          <cell r="M236"/>
          <cell r="N236"/>
          <cell r="O236"/>
        </row>
        <row r="237">
          <cell r="B237" t="str">
            <v>PANAREA</v>
          </cell>
          <cell r="C237"/>
          <cell r="D237" t="str">
            <v/>
          </cell>
          <cell r="E237"/>
          <cell r="F237"/>
          <cell r="G237"/>
          <cell r="H237"/>
          <cell r="I237"/>
          <cell r="J237">
            <v>0</v>
          </cell>
          <cell r="K237" t="str">
            <v/>
          </cell>
          <cell r="L237"/>
          <cell r="M237"/>
          <cell r="N237"/>
          <cell r="O237"/>
        </row>
        <row r="238">
          <cell r="B238" t="str">
            <v>PANDORA</v>
          </cell>
          <cell r="C238" t="str">
            <v>KNIT EAR BONNET</v>
          </cell>
          <cell r="D238" t="str">
            <v>H.FLYFL_EAR</v>
          </cell>
          <cell r="E238" t="str">
            <v>HORSE</v>
          </cell>
          <cell r="F238" t="str">
            <v>HORSE</v>
          </cell>
          <cell r="G238" t="str">
            <v>FLY PROTECTION</v>
          </cell>
          <cell r="H238" t="str">
            <v>FULL</v>
          </cell>
          <cell r="I238" t="str">
            <v>EAR BONNETS / FLY VEILS</v>
          </cell>
          <cell r="J238" t="str">
            <v>EAR BONNETS / FLY VEILS</v>
          </cell>
          <cell r="K238" t="str">
            <v>KNIT EAR BONNET</v>
          </cell>
          <cell r="L238" t="str">
            <v>High density and bright color knit ear bonnet</v>
          </cell>
          <cell r="M238" t="str">
            <v xml:space="preserve">*Made with special polyester yarn in a high density knitting for solid and nice look on your horse's head
* Soft polyamide jersey fabric on the ears
Composition:
Main fabrication: 100% Polyester
Decoration: 100% Polyamide
</v>
          </cell>
          <cell r="N238" t="str">
            <v>Machine Wash at 30°C
Mild process
Do not bleach
Do NOT Tumble Dry</v>
          </cell>
          <cell r="O238" t="str">
            <v>ÖRME KULAKLIK</v>
          </cell>
        </row>
        <row r="239">
          <cell r="B239" t="str">
            <v>PANDORA-P</v>
          </cell>
          <cell r="C239" t="str">
            <v>KNIT EAR BONNET</v>
          </cell>
          <cell r="D239" t="str">
            <v>H.FLYPN_EAR</v>
          </cell>
          <cell r="E239" t="str">
            <v>HORSE</v>
          </cell>
          <cell r="F239" t="str">
            <v>PONY</v>
          </cell>
          <cell r="G239" t="str">
            <v>FLY PROTECTION</v>
          </cell>
          <cell r="H239" t="str">
            <v>PONY</v>
          </cell>
          <cell r="I239" t="str">
            <v>EAR BONNETS / FLY VEILS</v>
          </cell>
          <cell r="J239" t="str">
            <v>EAR BONNETS / FLY VEILS</v>
          </cell>
          <cell r="K239" t="str">
            <v>PONY - KNIT EAR BONNET</v>
          </cell>
          <cell r="L239" t="str">
            <v>High density and bright color knit Pony ear bonnet</v>
          </cell>
          <cell r="M239" t="str">
            <v xml:space="preserve">*Made with special polyester yarn in a high density knitting for solid and nice look on your horse's head
* Soft polyamide jersey fabric on the ears
Composition:
Main fabrication: 100% Polyester
Decoration: 100% Polyamide
</v>
          </cell>
          <cell r="N239" t="str">
            <v>Machine Wash at 30°C
Mild process
Do not bleach
Do NOT Tumble Dry</v>
          </cell>
          <cell r="O239" t="str">
            <v>ÖRME PONY KULAKLIK</v>
          </cell>
        </row>
        <row r="240">
          <cell r="B240" t="str">
            <v>PAOLA</v>
          </cell>
          <cell r="C240" t="str">
            <v>WOMEN'S COMPETITION POLO LONG SLEEVE</v>
          </cell>
          <cell r="D240" t="str">
            <v>R.TOPWN_CPL</v>
          </cell>
          <cell r="E240" t="str">
            <v>RIDER</v>
          </cell>
          <cell r="F240" t="str">
            <v>WOMEN</v>
          </cell>
          <cell r="G240" t="str">
            <v>TOPS</v>
          </cell>
          <cell r="H240" t="str">
            <v>WOMEN</v>
          </cell>
          <cell r="I240" t="str">
            <v>COMPETITION POLOS</v>
          </cell>
          <cell r="J240" t="str">
            <v>COMPETITION POLO LONG SLEEVE</v>
          </cell>
          <cell r="K240" t="str">
            <v>WOMEN'S COMPETITION POLO LONG SLEEVE</v>
          </cell>
          <cell r="L240"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40" t="str">
            <v>* Specially engineered design for high performance
* 4-way super stretch piquet jersey
* Soft and comfortable
* Breathable
* Quick dry
Composition:
95% Poliamide 5% Elasthane</v>
          </cell>
          <cell r="N240" t="str">
            <v>Machine Wash at 30°C
Mild process
Iron at low temperature
Iron from REVERSE
Do NOT iron on logos or prints
Do not bleach
Do NOT Tumble Dry</v>
          </cell>
          <cell r="O240" t="str">
            <v>KADIN UZUN KOL YARIŞMA POLO</v>
          </cell>
        </row>
        <row r="241">
          <cell r="B241" t="str">
            <v>PAOLA-JR</v>
          </cell>
          <cell r="C241" t="str">
            <v>GIRL'S COMPETITION POLO LONG SLEEVE</v>
          </cell>
          <cell r="D241" t="str">
            <v>R.TOPKG_CPL</v>
          </cell>
          <cell r="E241" t="str">
            <v>RIDER</v>
          </cell>
          <cell r="F241" t="str">
            <v>JUNIOR</v>
          </cell>
          <cell r="G241" t="str">
            <v>TOPS</v>
          </cell>
          <cell r="H241" t="str">
            <v>KIDS GIRL</v>
          </cell>
          <cell r="I241" t="str">
            <v>COMPETITION POLOS</v>
          </cell>
          <cell r="J241" t="str">
            <v>COMPETITION POLO LONG SLEEVE</v>
          </cell>
          <cell r="K241" t="str">
            <v>GIRL'S COMPETITION POLO LONG SLEEVE</v>
          </cell>
          <cell r="L241"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41" t="str">
            <v>* Specially engineered design for high performance
* 4-way super stretch piquet jersey
* Soft and comfortable
* Breathable
* Quick dry
Composition:
95% Poliamide 5% Elasthane</v>
          </cell>
          <cell r="N241" t="str">
            <v>Machine Wash at 30°C
Mild process
Iron at low temperature
Iron from REVERSE
Do NOT iron on logos or prints
Do not bleach
Do NOT Tumble Dry</v>
          </cell>
          <cell r="O241" t="str">
            <v>KIZ ÇOCUK UZUN KOL YARIŞMA POLO</v>
          </cell>
        </row>
        <row r="242">
          <cell r="B242" t="str">
            <v>PAOLO</v>
          </cell>
          <cell r="C242" t="str">
            <v>MEN'S COMPETITION POLO LONG SLEEVE</v>
          </cell>
          <cell r="D242" t="str">
            <v>R.TOPMN_CPL</v>
          </cell>
          <cell r="E242" t="str">
            <v>RIDER</v>
          </cell>
          <cell r="F242" t="str">
            <v>MEN</v>
          </cell>
          <cell r="G242" t="str">
            <v>TOPS</v>
          </cell>
          <cell r="H242" t="str">
            <v>MEN</v>
          </cell>
          <cell r="I242" t="str">
            <v>COMPETITION POLOS</v>
          </cell>
          <cell r="J242" t="str">
            <v>COMPETITION POLO LONG SLEEVE</v>
          </cell>
          <cell r="K242" t="str">
            <v>MEN'S COMPETITION POLO LONG SLEEVE</v>
          </cell>
          <cell r="L242"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42" t="str">
            <v>* Specially engineered design for high performance
* 4-way super stretch piquet jersey
* Soft and comfortable
* Breathable
* Quick dry
Composition:
95% Poliamide 5% Elasthane</v>
          </cell>
          <cell r="N242" t="str">
            <v>Machine Wash at 30°C
Mild process
Iron at low temperature
Iron from REVERSE
Do NOT iron on logos or prints
Do not bleach
Do NOT Tumble Dry</v>
          </cell>
          <cell r="O242" t="str">
            <v>ERKEK UZUN KOL YARIŞMA POLO</v>
          </cell>
        </row>
        <row r="243">
          <cell r="B243" t="str">
            <v>PAOLO-JR</v>
          </cell>
          <cell r="C243" t="str">
            <v>BOY'S COMPETITION POLO LONG SLEEVE</v>
          </cell>
          <cell r="D243" t="str">
            <v>R.TOPKB_CPL</v>
          </cell>
          <cell r="E243" t="str">
            <v>RIDER</v>
          </cell>
          <cell r="F243" t="str">
            <v>JUNIOR</v>
          </cell>
          <cell r="G243" t="str">
            <v>TOPS</v>
          </cell>
          <cell r="H243" t="str">
            <v>KIDS BOY</v>
          </cell>
          <cell r="I243" t="str">
            <v>COMPETITION POLOS</v>
          </cell>
          <cell r="J243" t="str">
            <v>COMPETITION POLO LONG SLEEVE</v>
          </cell>
          <cell r="K243" t="str">
            <v>BOY'S COMPETITION POLO LONG SLEEVE</v>
          </cell>
          <cell r="L243"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43" t="str">
            <v>* Specially engineered design for high performance
* 4-way super stretch piquet jersey
* Soft and comfortable
* Breathable
* Quick dry
Composition:
95% Poliamide 5% Elasthane</v>
          </cell>
          <cell r="N243" t="str">
            <v>Machine Wash at 30°C
Mild process
Iron at low temperature
Iron from REVERSE
Do NOT iron on logos or prints
Do not bleach
Do NOT Tumble Dry</v>
          </cell>
          <cell r="O243" t="str">
            <v>ERKEK ÇOCUK UZUN KOL YARIŞMA POLO</v>
          </cell>
        </row>
        <row r="244">
          <cell r="B244" t="str">
            <v>PAOLA-TBF</v>
          </cell>
          <cell r="C244" t="str">
            <v>WOMEN'S COMPETITION POLO LONG SLEEVE X TEAM TÜRKİYE</v>
          </cell>
          <cell r="D244" t="str">
            <v>R.TOPWN_CPL</v>
          </cell>
          <cell r="E244" t="str">
            <v>RIDER</v>
          </cell>
          <cell r="F244" t="str">
            <v>WOMEN</v>
          </cell>
          <cell r="G244" t="str">
            <v>TOPS</v>
          </cell>
          <cell r="H244" t="str">
            <v>WOMEN</v>
          </cell>
          <cell r="I244" t="str">
            <v>COMPETITION POLOS</v>
          </cell>
          <cell r="J244" t="str">
            <v>COMPETITION POLO L/S</v>
          </cell>
          <cell r="K244" t="str">
            <v>WOMEN'S COMPETITION POLO LONG SLEEVE X TEAM TÜRKİYE</v>
          </cell>
          <cell r="L244"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44" t="str">
            <v>* Specially engineered design for high performance
* 4-way super stretch piquet jersey
* Soft and comfortable
* Breathable
* Quick dry
Composition:
95% Poliamide 5% Elasthane</v>
          </cell>
          <cell r="N244" t="str">
            <v>Machine Wash at 30°C
Mild process
Iron at low temperature
Iron from REVERSE
Do NOT iron on logos or prints
Do not bleach
Do NOT Tumble Dry</v>
          </cell>
          <cell r="O244" t="str">
            <v>KADIN UZUN KOL YARIŞMA POLO X TEAM TÜRKİYE</v>
          </cell>
        </row>
        <row r="245">
          <cell r="B245" t="str">
            <v>PAOLO-TBF</v>
          </cell>
          <cell r="C245" t="str">
            <v>MEN'S COMPETITION POLO LONG SLEEVE X TEAM TÜRKİYE</v>
          </cell>
          <cell r="D245" t="str">
            <v>R.TOPMN_CPL</v>
          </cell>
          <cell r="E245" t="str">
            <v>RIDER</v>
          </cell>
          <cell r="F245" t="str">
            <v>MEN</v>
          </cell>
          <cell r="G245" t="str">
            <v>TOPS</v>
          </cell>
          <cell r="H245" t="str">
            <v>MEN</v>
          </cell>
          <cell r="I245" t="str">
            <v>COMPETITION POLOS</v>
          </cell>
          <cell r="J245" t="str">
            <v>COMPETITION POLO L/S</v>
          </cell>
          <cell r="K245" t="str">
            <v>MEN'S COMPETITION POLO LONG SLEEVE X TEAM TÜRKİYE</v>
          </cell>
          <cell r="L245"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45" t="str">
            <v>* Specially engineered design for high performance
* 4-way super stretch piquet jersey
* Soft and comfortable
* Breathable
* Quick dry
Composition:
95% Poliamide 5% Elasthane</v>
          </cell>
          <cell r="N245" t="str">
            <v>Machine Wash at 30°C
Mild process
Iron at low temperature
Iron from REVERSE
Do NOT iron on logos or prints
Do not bleach
Do NOT Tumble Dry</v>
          </cell>
          <cell r="O245" t="str">
            <v>ERKEK UZUN KOL YARIŞMA POLO X TEAM TÜRKİYE</v>
          </cell>
        </row>
        <row r="246">
          <cell r="B246" t="str">
            <v>PARIS</v>
          </cell>
          <cell r="C246" t="str">
            <v>HONEYCOMB SADDLE PAD</v>
          </cell>
          <cell r="D246" t="str">
            <v>H.PADFL_SPH</v>
          </cell>
          <cell r="E246" t="str">
            <v>HORSE</v>
          </cell>
          <cell r="F246" t="str">
            <v>HORSE</v>
          </cell>
          <cell r="G246" t="str">
            <v>SADDLE PADS</v>
          </cell>
          <cell r="H246" t="str">
            <v>FULL</v>
          </cell>
          <cell r="I246" t="str">
            <v>SADDLE PAD HONEYCOMB</v>
          </cell>
          <cell r="J246" t="str">
            <v>SADDLE PAD HONEYCOMB</v>
          </cell>
          <cell r="K246" t="str">
            <v>HONEYCOMB SADDLE PAD</v>
          </cell>
          <cell r="L246" t="str">
            <v>Honeycomb design saddle pad
Bold design followed by superb technical performance
Our saddlepads are engineered to offer a remarkable esthetic look while providing an orthopedic and functional performance</v>
          </cell>
          <cell r="M246" t="str">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ell>
          <cell r="N246" t="str">
            <v>Machine Wash at 30°C
Mild process
Do not bleach
Do NOT Tumble Dry</v>
          </cell>
          <cell r="O246" t="str">
            <v>PETEK DESEN EYER ALTI</v>
          </cell>
        </row>
        <row r="247">
          <cell r="B247" t="str">
            <v>PARIS-P</v>
          </cell>
          <cell r="C247" t="str">
            <v>HONEYCOMB SADDLEPAD</v>
          </cell>
          <cell r="D247" t="str">
            <v>H.PADPN_SPH</v>
          </cell>
          <cell r="E247" t="str">
            <v>HORSE</v>
          </cell>
          <cell r="F247" t="str">
            <v>PONY</v>
          </cell>
          <cell r="G247" t="str">
            <v>SADDLE PADS</v>
          </cell>
          <cell r="H247" t="str">
            <v>PONY</v>
          </cell>
          <cell r="I247" t="str">
            <v>SADDLE PAD HONEYCOMB</v>
          </cell>
          <cell r="J247" t="str">
            <v>SADDLE PAD HONEYCOMB</v>
          </cell>
          <cell r="K247" t="str">
            <v>PONY - HONEYCOMB SADDLEPAD</v>
          </cell>
          <cell r="L247" t="str">
            <v>Honeycomb design Pony saddle pad
Bold design followed by superb technical performance
Our saddlepads are engineered to offer a remarkable esthetic look while providing an orthopedic and functional performance</v>
          </cell>
          <cell r="M247" t="str">
            <v xml:space="preserve">* Two fabric options depending on color selection
- Long-fiber fine satin shell fabric with L/A finishing to ensure long term brightness and clean look
-High quality woven twill fabric for elegant look
*High density fiber + sponge filling for ultimate shock absorption to protect your horse's spine
*Cotton blend lining fabric in waffle weave to avoid and abrorb sweating
Composition:
Shell fabric: 100% Cotton
Lining: 50% Cotton 50% Polyester
Filling: 100%  Polyester
</v>
          </cell>
          <cell r="N247" t="str">
            <v>Machine Wash at 30°C
Mild process
Do not bleach
Do NOT Tumble Dry</v>
          </cell>
          <cell r="O247" t="str">
            <v>PETEK DESEN PONY EYER ALTI</v>
          </cell>
        </row>
        <row r="248">
          <cell r="B248" t="str">
            <v>PARMA</v>
          </cell>
          <cell r="C248"/>
          <cell r="D248" t="str">
            <v/>
          </cell>
          <cell r="E248"/>
          <cell r="F248"/>
          <cell r="G248"/>
          <cell r="H248"/>
          <cell r="I248"/>
          <cell r="J248">
            <v>0</v>
          </cell>
          <cell r="K248" t="str">
            <v/>
          </cell>
          <cell r="L248"/>
          <cell r="M248"/>
          <cell r="N248"/>
          <cell r="O248"/>
        </row>
        <row r="249">
          <cell r="B249" t="str">
            <v>PEBBLE BEACH</v>
          </cell>
          <cell r="C249"/>
          <cell r="D249" t="str">
            <v/>
          </cell>
          <cell r="E249"/>
          <cell r="F249"/>
          <cell r="G249"/>
          <cell r="H249"/>
          <cell r="I249"/>
          <cell r="J249">
            <v>0</v>
          </cell>
          <cell r="K249" t="str">
            <v/>
          </cell>
          <cell r="L249"/>
          <cell r="M249"/>
          <cell r="N249"/>
          <cell r="O249"/>
        </row>
        <row r="250">
          <cell r="B250" t="str">
            <v>PESCARA</v>
          </cell>
          <cell r="C250"/>
          <cell r="D250" t="str">
            <v/>
          </cell>
          <cell r="E250"/>
          <cell r="F250"/>
          <cell r="G250"/>
          <cell r="H250"/>
          <cell r="I250"/>
          <cell r="J250">
            <v>0</v>
          </cell>
          <cell r="K250" t="str">
            <v/>
          </cell>
          <cell r="L250"/>
          <cell r="M250"/>
          <cell r="N250"/>
          <cell r="O250"/>
        </row>
        <row r="251">
          <cell r="B251" t="str">
            <v>PETRA</v>
          </cell>
          <cell r="C251"/>
          <cell r="D251" t="str">
            <v/>
          </cell>
          <cell r="E251"/>
          <cell r="F251"/>
          <cell r="G251"/>
          <cell r="H251"/>
          <cell r="I251"/>
          <cell r="J251">
            <v>0</v>
          </cell>
          <cell r="K251" t="str">
            <v/>
          </cell>
          <cell r="L251"/>
          <cell r="M251"/>
          <cell r="N251"/>
          <cell r="O251"/>
        </row>
        <row r="252">
          <cell r="B252" t="str">
            <v>PINE VALLEY</v>
          </cell>
          <cell r="C252" t="str">
            <v>BOY'S SOFT TRAINING POLO SHORT SLEEVE</v>
          </cell>
          <cell r="D252" t="str">
            <v>R.TOPKB_CPL</v>
          </cell>
          <cell r="E252" t="str">
            <v>RIDER</v>
          </cell>
          <cell r="F252" t="str">
            <v>JUNIOR</v>
          </cell>
          <cell r="G252" t="str">
            <v>TOPS</v>
          </cell>
          <cell r="H252" t="str">
            <v>KIDS BOY</v>
          </cell>
          <cell r="I252" t="str">
            <v>COMPETITION POLOS</v>
          </cell>
          <cell r="J252" t="str">
            <v>COMPETITION POLO LONG SLEEVE</v>
          </cell>
          <cell r="K252" t="str">
            <v>BOY'S SOFT TRAINING POLO SHORT SLEEVE</v>
          </cell>
          <cell r="L252" t="str">
            <v>Boy's Short Sleeve Soft Training Polo
Thanks to its soft and natural fiber fabric our soft polos are ideal for daily training</v>
          </cell>
          <cell r="M252" t="str">
            <v>Bi-color Piquet Fabric
Embroidery dressing
Composition:
100% Cotton</v>
          </cell>
          <cell r="N252" t="str">
            <v>Machine Wash at 30°C
Mild process
Iron at low temperature
Iron from REVERSE
Do NOT iron on logos or prints
Do not bleach
Do NOT Tumble Dry</v>
          </cell>
          <cell r="O252" t="str">
            <v>ERKEK ÇOCUK KISA KOL SOFT ANTRENMAN POLO</v>
          </cell>
        </row>
        <row r="253">
          <cell r="B253" t="str">
            <v>PISA</v>
          </cell>
          <cell r="C253" t="str">
            <v>WOMEN'S PRO COMPETITION JACKET</v>
          </cell>
          <cell r="D253" t="str">
            <v>R.J&amp;TWN_CJK</v>
          </cell>
          <cell r="E253" t="str">
            <v>RIDER</v>
          </cell>
          <cell r="F253" t="str">
            <v>WOMEN</v>
          </cell>
          <cell r="G253" t="str">
            <v>JACKETS &amp; TAILCOATS</v>
          </cell>
          <cell r="H253" t="str">
            <v>WOMEN</v>
          </cell>
          <cell r="I253" t="str">
            <v>COMPETITION JACKETS</v>
          </cell>
          <cell r="J253" t="str">
            <v>COMPETITION JACKETS</v>
          </cell>
          <cell r="K253" t="str">
            <v>WOMEN'S PRO COMPETITION JACKET</v>
          </cell>
          <cell r="L253" t="str">
            <v>MADE IN ITALY WITH PREMIUM ITALIAN FABRICS
Professional Series Competition jacket with soft-shell microfibre that is waterproof, highly elastic and breathable technical jersey fabric. Machine washable</v>
          </cell>
          <cell r="M253" t="str">
            <v>*Italian Premium fabric
*Extra-soft and comfortable technical jersey
* 4-way stretch fabric
* Breathable and Quick Dry
* Wrinkle-free and Easy Care
Composition:
74% Micro PA /  26% Elasthane</v>
          </cell>
          <cell r="N253" t="str">
            <v>Machine Wash at 30°C
Mild process
Iron at low temperature
Iron from REVERSE
Do NOT iron on logos or prints
Do not bleach
Do NOT Tumble Dry</v>
          </cell>
          <cell r="O253" t="str">
            <v>KADIN PRO YARIŞMA CEKETİ</v>
          </cell>
        </row>
        <row r="254">
          <cell r="B254" t="str">
            <v>PONZA</v>
          </cell>
          <cell r="C254"/>
          <cell r="D254" t="str">
            <v/>
          </cell>
          <cell r="E254"/>
          <cell r="F254"/>
          <cell r="G254"/>
          <cell r="H254"/>
          <cell r="I254"/>
          <cell r="J254">
            <v>0</v>
          </cell>
          <cell r="K254" t="str">
            <v/>
          </cell>
          <cell r="L254"/>
          <cell r="M254"/>
          <cell r="N254"/>
          <cell r="O254"/>
        </row>
        <row r="255">
          <cell r="B255" t="str">
            <v>PORTLAND</v>
          </cell>
          <cell r="C255"/>
          <cell r="D255" t="str">
            <v/>
          </cell>
          <cell r="E255"/>
          <cell r="F255"/>
          <cell r="G255"/>
          <cell r="H255"/>
          <cell r="I255"/>
          <cell r="J255">
            <v>0</v>
          </cell>
          <cell r="K255" t="str">
            <v/>
          </cell>
          <cell r="L255"/>
          <cell r="M255"/>
          <cell r="N255"/>
          <cell r="O255"/>
        </row>
        <row r="256">
          <cell r="B256" t="str">
            <v>PORTO</v>
          </cell>
          <cell r="C256"/>
          <cell r="D256" t="str">
            <v/>
          </cell>
          <cell r="E256"/>
          <cell r="F256"/>
          <cell r="G256"/>
          <cell r="H256"/>
          <cell r="I256"/>
          <cell r="J256">
            <v>0</v>
          </cell>
          <cell r="K256" t="str">
            <v/>
          </cell>
          <cell r="L256"/>
          <cell r="M256"/>
          <cell r="N256"/>
          <cell r="O256"/>
        </row>
        <row r="257">
          <cell r="B257" t="str">
            <v>PORTO CERVO</v>
          </cell>
          <cell r="C257"/>
          <cell r="D257" t="str">
            <v/>
          </cell>
          <cell r="E257"/>
          <cell r="F257"/>
          <cell r="G257"/>
          <cell r="H257"/>
          <cell r="I257"/>
          <cell r="J257">
            <v>0</v>
          </cell>
          <cell r="K257" t="str">
            <v/>
          </cell>
          <cell r="L257"/>
          <cell r="M257"/>
          <cell r="N257"/>
          <cell r="O257"/>
        </row>
        <row r="258">
          <cell r="B258" t="str">
            <v>POSITANO</v>
          </cell>
          <cell r="C258"/>
          <cell r="D258" t="str">
            <v/>
          </cell>
          <cell r="E258"/>
          <cell r="F258"/>
          <cell r="G258"/>
          <cell r="H258"/>
          <cell r="I258"/>
          <cell r="J258">
            <v>0</v>
          </cell>
          <cell r="K258" t="str">
            <v/>
          </cell>
          <cell r="L258"/>
          <cell r="M258"/>
          <cell r="N258"/>
          <cell r="O258"/>
        </row>
        <row r="259">
          <cell r="B259" t="str">
            <v>POTENZA</v>
          </cell>
          <cell r="C259"/>
          <cell r="D259" t="str">
            <v/>
          </cell>
          <cell r="E259"/>
          <cell r="F259"/>
          <cell r="G259"/>
          <cell r="H259"/>
          <cell r="I259"/>
          <cell r="J259">
            <v>0</v>
          </cell>
          <cell r="K259" t="str">
            <v/>
          </cell>
          <cell r="L259"/>
          <cell r="M259"/>
          <cell r="N259"/>
          <cell r="O259"/>
        </row>
        <row r="260">
          <cell r="B260" t="str">
            <v>PRAGUE</v>
          </cell>
          <cell r="C260" t="str">
            <v>MEN'S COMPETITION POLO LONG SLEEVE</v>
          </cell>
          <cell r="D260" t="str">
            <v>R.TOPMN_CPL</v>
          </cell>
          <cell r="E260" t="str">
            <v>RIDER</v>
          </cell>
          <cell r="F260" t="str">
            <v>MEN</v>
          </cell>
          <cell r="G260" t="str">
            <v>TOPS</v>
          </cell>
          <cell r="H260" t="str">
            <v>MEN</v>
          </cell>
          <cell r="I260" t="str">
            <v>COMPETITION POLOS</v>
          </cell>
          <cell r="J260" t="str">
            <v>COMPETITION POLO LONG SLEEVE</v>
          </cell>
          <cell r="K260" t="str">
            <v>MEN'S COMPETITION POLO LONG SLEEVE</v>
          </cell>
          <cell r="L260"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60" t="str">
            <v>* Specially engineered design for high performance
* 4-way super stretch piquet jersey
* Soft and comfortable
* Breathable
* Quick dry
Composition:
95% Poliamide 5% Elasthane</v>
          </cell>
          <cell r="N260" t="str">
            <v>Machine Wash at 30°C
Mild process
Iron at low temperature
Iron from REVERSE
Do NOT iron on logos or prints
Do not bleach
Do NOT Tumble Dry</v>
          </cell>
          <cell r="O260" t="str">
            <v>ERKEK UZUN KOL YARIŞMA POLO</v>
          </cell>
        </row>
        <row r="261">
          <cell r="B261" t="str">
            <v>PRAGUE-JR</v>
          </cell>
          <cell r="C261" t="str">
            <v>BOY'S COMPETITION POLO LONG SLEEVE</v>
          </cell>
          <cell r="D261" t="str">
            <v>R.TOPKB_CPL</v>
          </cell>
          <cell r="E261" t="str">
            <v>RIDER</v>
          </cell>
          <cell r="F261" t="str">
            <v>JUNIOR</v>
          </cell>
          <cell r="G261" t="str">
            <v>TOPS</v>
          </cell>
          <cell r="H261" t="str">
            <v>KIDS BOY</v>
          </cell>
          <cell r="I261" t="str">
            <v>COMPETITION POLOS</v>
          </cell>
          <cell r="J261" t="str">
            <v>COMPETITION POLO LONG SLEEVE</v>
          </cell>
          <cell r="K261" t="str">
            <v>BOY'S COMPETITION POLO LONG SLEEVE</v>
          </cell>
          <cell r="L261"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61" t="str">
            <v>* Specially engineered design for high performance
* 4-way super stretch piquet jersey
* Soft and comfortable
* Breathable
* Quick dry
Composition:
95% Poliamide 5% Elasthane</v>
          </cell>
          <cell r="N261" t="str">
            <v>Machine Wash at 30°C
Mild process
Iron at low temperature
Iron from REVERSE
Do NOT iron on logos or prints
Do not bleach
Do NOT Tumble Dry</v>
          </cell>
          <cell r="O261" t="str">
            <v>ERKEK ÇOCUK UZUN KOL YARIŞMA POLO</v>
          </cell>
        </row>
        <row r="262">
          <cell r="B262" t="str">
            <v>PRATO</v>
          </cell>
          <cell r="C262"/>
          <cell r="D262" t="str">
            <v/>
          </cell>
          <cell r="E262"/>
          <cell r="F262"/>
          <cell r="G262"/>
          <cell r="H262"/>
          <cell r="I262"/>
          <cell r="J262">
            <v>0</v>
          </cell>
          <cell r="K262" t="str">
            <v/>
          </cell>
          <cell r="L262"/>
          <cell r="M262"/>
          <cell r="N262"/>
          <cell r="O262"/>
        </row>
        <row r="263">
          <cell r="B263" t="str">
            <v>QUEBEC</v>
          </cell>
          <cell r="C263" t="str">
            <v>KID'S PUFFER VEST</v>
          </cell>
          <cell r="D263" t="str">
            <v>R.OTWKU_PUV</v>
          </cell>
          <cell r="E263" t="str">
            <v>RIDER</v>
          </cell>
          <cell r="F263" t="str">
            <v>JUNIOR</v>
          </cell>
          <cell r="G263" t="str">
            <v>OUTERWEAR</v>
          </cell>
          <cell r="H263" t="str">
            <v>KIDS UNISEX</v>
          </cell>
          <cell r="I263" t="str">
            <v>PUFFER VESTS</v>
          </cell>
          <cell r="J263" t="str">
            <v>PUFFER VESTS</v>
          </cell>
          <cell r="K263" t="str">
            <v>KID'S PUFFER VEST</v>
          </cell>
          <cell r="L263" t="str">
            <v>QUEBEC Riding Vest
Every rider's must have product
Ideal for transition seasons</v>
          </cell>
          <cell r="M263" t="str">
            <v>*Super-light weight
*Tailored fit for women
Composition:
Shell fabric: 100% Nylon
Lining: 100% Nylon
Filling: 100% Polyester Non-woven</v>
          </cell>
          <cell r="N263" t="str">
            <v>Machine Wash gently at 30 C
Do not dry clean
Do not bleach
Do not iron
Hang dry</v>
          </cell>
          <cell r="O263" t="str">
            <v>ÇOCUK ŞİŞME YELEK</v>
          </cell>
        </row>
        <row r="264">
          <cell r="B264" t="str">
            <v>RAIN-X</v>
          </cell>
          <cell r="C264" t="str">
            <v>RAINPROOF EXERCISE SHEET</v>
          </cell>
          <cell r="D264" t="str">
            <v>H.RUGFL_RXS</v>
          </cell>
          <cell r="E264" t="str">
            <v>HORSE</v>
          </cell>
          <cell r="F264" t="str">
            <v>HORSE</v>
          </cell>
          <cell r="G264" t="str">
            <v>RUGS</v>
          </cell>
          <cell r="H264" t="str">
            <v>FULL</v>
          </cell>
          <cell r="I264" t="str">
            <v>RAINPROOF EXERCISE SHEETS</v>
          </cell>
          <cell r="J264" t="str">
            <v>RAINPROOF EXERCISE SHEETS</v>
          </cell>
          <cell r="K264" t="str">
            <v>RAINPROOF EXERCISE SHEET</v>
          </cell>
          <cell r="L264" t="str">
            <v xml:space="preserve">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ell>
          <cell r="M264" t="str">
            <v xml:space="preserve">*Two layer fabric; rainproof outer shell to keep your horse dry and suğer soft pile lining to keep your horse warm 
*Custom design and pattern to sit prefectly on the horse during training
Composition:
Outer shell: 100% Rainproof Nylon
Lining: 100% Polyester
</v>
          </cell>
          <cell r="N264" t="str">
            <v>Machine wash 40 C
Do not iron
Do not bleach</v>
          </cell>
          <cell r="O264" t="str">
            <v>YAĞMUR GEÇİRMEZ ÇALIŞMA BLANKETİ</v>
          </cell>
        </row>
        <row r="265">
          <cell r="B265" t="str">
            <v>RAIN-XP</v>
          </cell>
          <cell r="C265" t="str">
            <v>RAINPROOF EXERCISE SHEET</v>
          </cell>
          <cell r="D265" t="str">
            <v>H.RUGPN_RXS</v>
          </cell>
          <cell r="E265" t="str">
            <v>HORSE</v>
          </cell>
          <cell r="F265" t="str">
            <v>PONY</v>
          </cell>
          <cell r="G265" t="str">
            <v>RUGS</v>
          </cell>
          <cell r="H265" t="str">
            <v>PONY</v>
          </cell>
          <cell r="I265" t="str">
            <v>RAINPROOF EXERCISE SHEETS</v>
          </cell>
          <cell r="J265" t="str">
            <v>RAINPROOF EXERCISE SHEETS</v>
          </cell>
          <cell r="K265" t="str">
            <v>PONY - RAINPROOF EXERCISE SHEET</v>
          </cell>
          <cell r="L265" t="str">
            <v xml:space="preserve">Pony Rainproof Exercise Sheet for Heavy rain, snow or very cold weather
Rain-X is engineered to keep your horse dry and warm under extreme weather conditions! 
Thanks to its custom design and pattern, you can easily use the product in all gaits and even at very high speeds through out training without disturbing the horse or your ride.
</v>
          </cell>
          <cell r="M265" t="str">
            <v xml:space="preserve">*Two layer fabric; rainproof outer shell to keep your horse dry and suğer soft pile lining to keep your horse warm 
*Custom design and pattern to sit prefectly on the horse during training
Composition:
Outer shell: 100% Rainproof Nylon
Lining: 100% Polyester
</v>
          </cell>
          <cell r="N265" t="str">
            <v>Machine wash 40 C
Do not iron
Do not bleach</v>
          </cell>
          <cell r="O265" t="str">
            <v>PONY YAĞMUR GEÇİRMEZ ÇALIŞMA BLANKETİ</v>
          </cell>
        </row>
        <row r="266">
          <cell r="B266" t="str">
            <v>REISENBECK</v>
          </cell>
          <cell r="C266"/>
          <cell r="D266" t="str">
            <v/>
          </cell>
          <cell r="E266"/>
          <cell r="F266"/>
          <cell r="G266"/>
          <cell r="H266"/>
          <cell r="I266"/>
          <cell r="J266">
            <v>0</v>
          </cell>
          <cell r="K266" t="str">
            <v/>
          </cell>
          <cell r="L266"/>
          <cell r="M266"/>
          <cell r="N266"/>
          <cell r="O266"/>
        </row>
        <row r="267">
          <cell r="B267" t="str">
            <v>RENNES</v>
          </cell>
          <cell r="C267"/>
          <cell r="D267" t="str">
            <v/>
          </cell>
          <cell r="E267"/>
          <cell r="F267"/>
          <cell r="G267"/>
          <cell r="H267"/>
          <cell r="I267"/>
          <cell r="J267">
            <v>0</v>
          </cell>
          <cell r="K267" t="str">
            <v/>
          </cell>
          <cell r="L267"/>
          <cell r="M267"/>
          <cell r="N267"/>
          <cell r="O267"/>
        </row>
        <row r="268">
          <cell r="B268" t="str">
            <v>RIMINI</v>
          </cell>
          <cell r="C268"/>
          <cell r="D268" t="str">
            <v/>
          </cell>
          <cell r="E268"/>
          <cell r="F268"/>
          <cell r="G268"/>
          <cell r="H268"/>
          <cell r="I268"/>
          <cell r="J268">
            <v>0</v>
          </cell>
          <cell r="K268" t="str">
            <v/>
          </cell>
          <cell r="L268"/>
          <cell r="M268"/>
          <cell r="N268"/>
          <cell r="O268"/>
        </row>
        <row r="269">
          <cell r="B269" t="str">
            <v>RIO</v>
          </cell>
          <cell r="C269"/>
          <cell r="D269" t="str">
            <v/>
          </cell>
          <cell r="E269"/>
          <cell r="F269"/>
          <cell r="G269"/>
          <cell r="H269"/>
          <cell r="I269"/>
          <cell r="J269">
            <v>0</v>
          </cell>
          <cell r="K269" t="str">
            <v/>
          </cell>
          <cell r="L269"/>
          <cell r="M269"/>
          <cell r="N269"/>
          <cell r="O269"/>
        </row>
        <row r="270">
          <cell r="B270" t="str">
            <v>RIYADH</v>
          </cell>
          <cell r="C270"/>
          <cell r="D270" t="str">
            <v/>
          </cell>
          <cell r="E270"/>
          <cell r="F270"/>
          <cell r="G270"/>
          <cell r="H270"/>
          <cell r="I270"/>
          <cell r="J270">
            <v>0</v>
          </cell>
          <cell r="K270" t="str">
            <v/>
          </cell>
          <cell r="L270"/>
          <cell r="M270"/>
          <cell r="N270"/>
          <cell r="O270"/>
        </row>
        <row r="271">
          <cell r="B271" t="str">
            <v>ROMA</v>
          </cell>
          <cell r="C271" t="str">
            <v>4 SEASON RIDING SOCKS</v>
          </cell>
          <cell r="D271" t="str">
            <v>A.RACAU_SOC</v>
          </cell>
          <cell r="E271" t="str">
            <v>ACCESSORIES</v>
          </cell>
          <cell r="F271" t="str">
            <v>ACCESSORIES</v>
          </cell>
          <cell r="G271" t="str">
            <v>RIDER ACCESSORIES</v>
          </cell>
          <cell r="H271" t="str">
            <v>ADULTS UNISEX</v>
          </cell>
          <cell r="I271" t="str">
            <v>RIDING SOCKS</v>
          </cell>
          <cell r="J271" t="str">
            <v>RIDING SOCKS</v>
          </cell>
          <cell r="K271" t="str">
            <v>4 SEASON RIDING SOCKS</v>
          </cell>
          <cell r="L271" t="str">
            <v xml:space="preserve">ROMA
PERFORMANCE RIDING SOCKS
Specially designed for riders
ALL SEASONS X UNISEX   
</v>
          </cell>
          <cell r="M271" t="str">
            <v xml:space="preserve">%98 Polyamide, 2% Elasthane        
Technical Features:    
Comfortable and durable microfiber    
Anti-bacterial and Breathable    
Heel and front foot reinforced for high durability    
Soft and comfortable fit 
</v>
          </cell>
          <cell r="N271" t="str">
            <v xml:space="preserve">For best use we recommend hand-wash    
or Machine wash at 30C with hand-wash setting    
DO NOT TUMBLE DRY  </v>
          </cell>
          <cell r="O271" t="str">
            <v>4 MEVSİM BİNİCİ ÇORABI</v>
          </cell>
        </row>
        <row r="272">
          <cell r="B272" t="str">
            <v>ROMA-3XB</v>
          </cell>
          <cell r="C272" t="str">
            <v>4 SEASON RIDING SOCKS 
3 PACK BUNDLE</v>
          </cell>
          <cell r="D272" t="str">
            <v>A.RACAU_SOC</v>
          </cell>
          <cell r="E272" t="str">
            <v>ACCESSORIES</v>
          </cell>
          <cell r="F272" t="str">
            <v>ACCESSORIES</v>
          </cell>
          <cell r="G272" t="str">
            <v>RIDER ACCESSORIES</v>
          </cell>
          <cell r="H272" t="str">
            <v>ADULTS UNISEX</v>
          </cell>
          <cell r="I272" t="str">
            <v>RIDING SOCKS</v>
          </cell>
          <cell r="J272" t="str">
            <v>RIDING SOCKS</v>
          </cell>
          <cell r="K272" t="str">
            <v>4 SEASON RIDING SOCKS 
3 PACK BUNDLE</v>
          </cell>
          <cell r="L272" t="str">
            <v xml:space="preserve">ROMA 3 PACK BUNDLE
PERFORMANCE RIDING SOCKS
Specially designed for riders
ALL SEASONS X UNISEX   
</v>
          </cell>
          <cell r="M272" t="str">
            <v xml:space="preserve">%98 Polyamide, 2% Elasthane        
Technical Features:    
Comfortable and durable microfiber    
Anti-bacterial and Breathable    
Heel and front foot reinforced for high durability    
Soft and comfortable fit 
</v>
          </cell>
          <cell r="N272" t="str">
            <v xml:space="preserve">For best use we recommend hand-wash    
or Machine wash at 30C with hand-wash setting    
DO NOT TUMBLE DRY  </v>
          </cell>
          <cell r="O272" t="str">
            <v>4 MEVSİM BİNİCİ ÇORABI
3'LÜ PAKET</v>
          </cell>
        </row>
        <row r="273">
          <cell r="B273" t="str">
            <v>ST.TROPEZ</v>
          </cell>
          <cell r="C273"/>
          <cell r="D273" t="str">
            <v/>
          </cell>
          <cell r="E273"/>
          <cell r="F273"/>
          <cell r="G273"/>
          <cell r="H273"/>
          <cell r="I273"/>
          <cell r="J273">
            <v>0</v>
          </cell>
          <cell r="K273" t="str">
            <v/>
          </cell>
          <cell r="L273"/>
          <cell r="M273"/>
          <cell r="N273"/>
          <cell r="O273"/>
        </row>
        <row r="274">
          <cell r="B274" t="str">
            <v>SALERNO</v>
          </cell>
          <cell r="C274" t="str">
            <v>STABLE CURTAIN</v>
          </cell>
          <cell r="D274" t="str">
            <v>A.SACNA_STC</v>
          </cell>
          <cell r="E274" t="str">
            <v>ACCESSORIES</v>
          </cell>
          <cell r="F274" t="str">
            <v>ACCESSORIES</v>
          </cell>
          <cell r="G274" t="str">
            <v>STABLE ACCESSORIES</v>
          </cell>
          <cell r="H274" t="str">
            <v>NOT APPLICABLE</v>
          </cell>
          <cell r="I274" t="str">
            <v>STABLE CURTAINS</v>
          </cell>
          <cell r="J274" t="str">
            <v>STABLE CURTAINS</v>
          </cell>
          <cell r="K274" t="str">
            <v>STABLE CURTAIN</v>
          </cell>
          <cell r="L274" t="str">
            <v>Stable Curtain with customizable team logo and pockets.
Collect and keep your equipment at one place and in order with our high quality and durable stable curtains.</v>
          </cell>
          <cell r="M274" t="str">
            <v>*Easy to mount with different attachment options
*Hangers for bridles, halters, side reins, lead ropes and etc.
*Multi pockets in different sizes to keep your stuff together
*Reinforced stitches for endurance
Composition:
100% Heavy Duty Polyester</v>
          </cell>
          <cell r="N274" t="str">
            <v>Machine wash 40 C
Do not iron
Do not bleach</v>
          </cell>
          <cell r="O274" t="str">
            <v>AHIR PERDESİ</v>
          </cell>
        </row>
        <row r="275">
          <cell r="B275" t="str">
            <v>SALINA</v>
          </cell>
          <cell r="C275"/>
          <cell r="D275" t="str">
            <v/>
          </cell>
          <cell r="E275"/>
          <cell r="F275"/>
          <cell r="G275"/>
          <cell r="H275"/>
          <cell r="I275"/>
          <cell r="J275">
            <v>0</v>
          </cell>
          <cell r="K275" t="str">
            <v/>
          </cell>
          <cell r="L275"/>
          <cell r="M275"/>
          <cell r="N275"/>
          <cell r="O275"/>
        </row>
        <row r="276">
          <cell r="B276" t="str">
            <v>SALVADOR</v>
          </cell>
          <cell r="C276" t="str">
            <v>BOX GUARD</v>
          </cell>
          <cell r="D276" t="str">
            <v>A.SACNA_STG</v>
          </cell>
          <cell r="E276" t="str">
            <v>ACCESSORIES</v>
          </cell>
          <cell r="F276" t="str">
            <v>ACCESSORIES</v>
          </cell>
          <cell r="G276" t="str">
            <v>STABLE ACCESSORIES</v>
          </cell>
          <cell r="H276" t="str">
            <v>NOT APPLICABLE</v>
          </cell>
          <cell r="I276" t="str">
            <v>STABLE GUARDS</v>
          </cell>
          <cell r="J276" t="str">
            <v>STABLE GUARDS</v>
          </cell>
          <cell r="K276" t="str">
            <v>BOX GUARD</v>
          </cell>
          <cell r="L276" t="str">
            <v xml:space="preserve">Box Guard with customizable team logo
</v>
          </cell>
          <cell r="M276" t="str">
            <v>*Easy to mount with different attachment options
Composition:
100% Heavy Duty Polyester</v>
          </cell>
          <cell r="N276" t="str">
            <v>Machine wash 40 C
Do not iron
Do not bleach</v>
          </cell>
          <cell r="O276" t="str">
            <v>BOX PERDESİ</v>
          </cell>
        </row>
        <row r="277">
          <cell r="B277" t="str">
            <v>SALZBURG</v>
          </cell>
          <cell r="C277"/>
          <cell r="D277" t="str">
            <v/>
          </cell>
          <cell r="E277"/>
          <cell r="F277"/>
          <cell r="G277"/>
          <cell r="H277"/>
          <cell r="I277"/>
          <cell r="J277">
            <v>0</v>
          </cell>
          <cell r="K277" t="str">
            <v/>
          </cell>
          <cell r="L277"/>
          <cell r="M277"/>
          <cell r="N277"/>
          <cell r="O277"/>
        </row>
        <row r="278">
          <cell r="B278" t="str">
            <v>SAN DIEGO</v>
          </cell>
          <cell r="C278" t="str">
            <v>MEN'S TECH TRAINING POLO SHORT SLEEVE</v>
          </cell>
          <cell r="D278" t="str">
            <v>R.TOPMN_TPL</v>
          </cell>
          <cell r="E278" t="str">
            <v>RIDER</v>
          </cell>
          <cell r="F278" t="str">
            <v>MEN</v>
          </cell>
          <cell r="G278" t="str">
            <v>TOPS</v>
          </cell>
          <cell r="H278" t="str">
            <v>MEN</v>
          </cell>
          <cell r="I278" t="str">
            <v>TECH POLOS</v>
          </cell>
          <cell r="J278" t="str">
            <v>TECH POLOS LONG SLEEVE</v>
          </cell>
          <cell r="K278" t="str">
            <v>MEN'S TECH TRAINING POLO SHORT SLEEVE</v>
          </cell>
          <cell r="L278" t="str">
            <v>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ell>
          <cell r="M278" t="str">
            <v>* Specially engineered design for high performance
* 4-way super stretch piquet jersey
* Soft and comfortable
* Breathable
* Quick dry
Composition:
95% Poliamide 5% Elasthane</v>
          </cell>
          <cell r="N278" t="str">
            <v>Machine Wash at 30°C
Mild process
Iron at low temperature
Iron from REVERSE
Do NOT iron on logos or prints
Do not bleach
Do NOT Tumble Dry</v>
          </cell>
          <cell r="O278" t="str">
            <v>ERKEK KISA KOL TEKNİK ANTRENMAN POLO</v>
          </cell>
        </row>
        <row r="279">
          <cell r="B279" t="str">
            <v>SAN DIEGO-JR</v>
          </cell>
          <cell r="C279" t="str">
            <v>BOY'S TECH TRAINING POLO SHORT SLEEVE</v>
          </cell>
          <cell r="D279" t="str">
            <v>R.TOPKB_TPL</v>
          </cell>
          <cell r="E279" t="str">
            <v>RIDER</v>
          </cell>
          <cell r="F279" t="str">
            <v>JUNIOR</v>
          </cell>
          <cell r="G279" t="str">
            <v>TOPS</v>
          </cell>
          <cell r="H279" t="str">
            <v>KIDS BOY</v>
          </cell>
          <cell r="I279" t="str">
            <v>TECH POLOS</v>
          </cell>
          <cell r="J279" t="str">
            <v>TECH POLOS S/S</v>
          </cell>
          <cell r="K279" t="str">
            <v>BOY'S TECH TRAINING POLO SHORT SLEEVE</v>
          </cell>
          <cell r="L279" t="str">
            <v>Our technical training polos are made with high quality jersey fabric to match up to your high performance needs. Suitable for training and all kind of sports activities as well as daily elegance.
The special polyamide piquet jersey fabric will move with your body in such a harmony that you will hardly feel its existence.</v>
          </cell>
          <cell r="M279" t="str">
            <v>* Specially engineered design for high performance
* 4-way super stretch piquet jersey
* Soft and comfortable
* Breathable
* Quick dry
Composition:
95% Poliamide 5% Elasthane</v>
          </cell>
          <cell r="N279" t="str">
            <v>Machine Wash at 30°C
Mild process
Iron at low temperature
Iron from REVERSE
Do NOT iron on logos or prints
Do not bleach
Do NOT Tumble Dry</v>
          </cell>
          <cell r="O279" t="str">
            <v>ERKEK ÇOCUK KISA KOL TEKNİK ANTRENMAN POLO</v>
          </cell>
        </row>
        <row r="280">
          <cell r="B280" t="str">
            <v>SAN MARINO</v>
          </cell>
          <cell r="C280"/>
          <cell r="D280" t="str">
            <v/>
          </cell>
          <cell r="E280"/>
          <cell r="F280"/>
          <cell r="G280"/>
          <cell r="H280"/>
          <cell r="I280"/>
          <cell r="J280">
            <v>0</v>
          </cell>
          <cell r="K280" t="str">
            <v/>
          </cell>
          <cell r="L280"/>
          <cell r="M280"/>
          <cell r="N280"/>
          <cell r="O280"/>
        </row>
        <row r="281">
          <cell r="B281" t="str">
            <v>SAN NICOLA</v>
          </cell>
          <cell r="C281"/>
          <cell r="D281" t="str">
            <v/>
          </cell>
          <cell r="E281"/>
          <cell r="F281"/>
          <cell r="G281"/>
          <cell r="H281"/>
          <cell r="I281"/>
          <cell r="J281">
            <v>0</v>
          </cell>
          <cell r="K281" t="str">
            <v/>
          </cell>
          <cell r="L281"/>
          <cell r="M281"/>
          <cell r="N281"/>
          <cell r="O281"/>
        </row>
        <row r="282">
          <cell r="B282" t="str">
            <v>SAN PIETRO</v>
          </cell>
          <cell r="C282"/>
          <cell r="D282" t="str">
            <v/>
          </cell>
          <cell r="E282"/>
          <cell r="F282"/>
          <cell r="G282"/>
          <cell r="H282"/>
          <cell r="I282"/>
          <cell r="J282">
            <v>0</v>
          </cell>
          <cell r="K282" t="str">
            <v/>
          </cell>
          <cell r="L282"/>
          <cell r="M282"/>
          <cell r="N282"/>
          <cell r="O282"/>
        </row>
        <row r="283">
          <cell r="B283" t="str">
            <v>SAN REMO</v>
          </cell>
          <cell r="C283"/>
          <cell r="D283" t="str">
            <v/>
          </cell>
          <cell r="E283"/>
          <cell r="F283"/>
          <cell r="G283"/>
          <cell r="H283"/>
          <cell r="I283"/>
          <cell r="J283">
            <v>0</v>
          </cell>
          <cell r="K283" t="str">
            <v/>
          </cell>
          <cell r="L283"/>
          <cell r="M283"/>
          <cell r="N283"/>
          <cell r="O283"/>
        </row>
        <row r="284">
          <cell r="B284" t="str">
            <v>SAND HILLS</v>
          </cell>
          <cell r="C284"/>
          <cell r="D284" t="str">
            <v/>
          </cell>
          <cell r="E284"/>
          <cell r="F284"/>
          <cell r="G284"/>
          <cell r="H284"/>
          <cell r="I284"/>
          <cell r="J284">
            <v>0</v>
          </cell>
          <cell r="K284" t="str">
            <v/>
          </cell>
          <cell r="L284"/>
          <cell r="M284"/>
          <cell r="N284"/>
          <cell r="O284"/>
        </row>
        <row r="285">
          <cell r="B285" t="str">
            <v>SANTA DOMINGO</v>
          </cell>
          <cell r="C285"/>
          <cell r="D285" t="str">
            <v/>
          </cell>
          <cell r="E285"/>
          <cell r="F285"/>
          <cell r="G285"/>
          <cell r="H285"/>
          <cell r="I285"/>
          <cell r="J285">
            <v>0</v>
          </cell>
          <cell r="K285" t="str">
            <v/>
          </cell>
          <cell r="L285"/>
          <cell r="M285"/>
          <cell r="N285"/>
          <cell r="O285"/>
        </row>
        <row r="286">
          <cell r="B286" t="str">
            <v>SANTIAGO</v>
          </cell>
          <cell r="C286" t="str">
            <v>BRAIDED BELT</v>
          </cell>
          <cell r="D286" t="str">
            <v>A.RACUX_BLT</v>
          </cell>
          <cell r="E286" t="str">
            <v>ACCESSORIES</v>
          </cell>
          <cell r="F286" t="str">
            <v>ACCESSORIES</v>
          </cell>
          <cell r="G286" t="str">
            <v>RIDER ACCESSORIES</v>
          </cell>
          <cell r="H286" t="str">
            <v>UNISEX</v>
          </cell>
          <cell r="I286" t="str">
            <v>BELTS</v>
          </cell>
          <cell r="J286" t="str">
            <v>BELTS</v>
          </cell>
          <cell r="K286" t="str">
            <v>BRAIDED BELT</v>
          </cell>
          <cell r="L286" t="str">
            <v>Braided Riding Belts
Available in many colors and designs you can use these elegant belts for riding or even at your daily life</v>
          </cell>
          <cell r="M286" t="str">
            <v>*Super elastic and comfortable riding belts
Composition:
100% Polyester</v>
          </cell>
          <cell r="N286" t="str">
            <v>Do not wash in washing machine</v>
          </cell>
          <cell r="O286" t="str">
            <v>ÖRGÜ KEMER</v>
          </cell>
        </row>
        <row r="287">
          <cell r="B287" t="str">
            <v>SANTINI</v>
          </cell>
          <cell r="C287" t="str">
            <v>BRAIDED BELT</v>
          </cell>
          <cell r="D287" t="str">
            <v>A.RACUX_BLT</v>
          </cell>
          <cell r="E287" t="str">
            <v>ACCESSORIES</v>
          </cell>
          <cell r="F287" t="str">
            <v>ACCESSORIES</v>
          </cell>
          <cell r="G287" t="str">
            <v>RIDER ACCESSORIES</v>
          </cell>
          <cell r="H287" t="str">
            <v>UNISEX</v>
          </cell>
          <cell r="I287" t="str">
            <v>BELTS</v>
          </cell>
          <cell r="J287" t="str">
            <v>BELTS</v>
          </cell>
          <cell r="K287" t="str">
            <v>BRAIDED BELT</v>
          </cell>
          <cell r="L287" t="str">
            <v>Braided Riding Belts
Available in many colors and designs you can use these elegant belts for riding or even at your daily life</v>
          </cell>
          <cell r="M287" t="str">
            <v>*Super elastic and comfortable riding belts
Composition:
100% Polyester</v>
          </cell>
          <cell r="N287" t="str">
            <v>Do not wash in washing machine</v>
          </cell>
          <cell r="O287" t="str">
            <v>ÖRGÜ KEMER</v>
          </cell>
        </row>
        <row r="288">
          <cell r="B288" t="str">
            <v>SANTORINI</v>
          </cell>
          <cell r="C288" t="str">
            <v>BRAIDED BELT</v>
          </cell>
          <cell r="D288" t="str">
            <v>A.RACUX_BLT</v>
          </cell>
          <cell r="E288" t="str">
            <v>ACCESSORIES</v>
          </cell>
          <cell r="F288" t="str">
            <v>ACCESSORIES</v>
          </cell>
          <cell r="G288" t="str">
            <v>RIDER ACCESSORIES</v>
          </cell>
          <cell r="H288" t="str">
            <v>UNISEX</v>
          </cell>
          <cell r="I288" t="str">
            <v>BELTS</v>
          </cell>
          <cell r="J288" t="str">
            <v>BELTS</v>
          </cell>
          <cell r="K288" t="str">
            <v>BRAIDED BELT</v>
          </cell>
          <cell r="L288" t="str">
            <v>Braided Riding Belts
Available in many colors and designs you can use these elegant belts for riding or even at your daily life</v>
          </cell>
          <cell r="M288" t="str">
            <v>*Super elastic and comfortable riding belts
Composition:
100% Polyester</v>
          </cell>
          <cell r="N288" t="str">
            <v>Do not wash in washing machine</v>
          </cell>
          <cell r="O288" t="str">
            <v>ÖRGÜ KEMER</v>
          </cell>
        </row>
        <row r="289">
          <cell r="B289" t="str">
            <v>SAO PAULO</v>
          </cell>
          <cell r="C289"/>
          <cell r="D289" t="str">
            <v/>
          </cell>
          <cell r="E289"/>
          <cell r="F289"/>
          <cell r="G289"/>
          <cell r="H289"/>
          <cell r="I289"/>
          <cell r="J289">
            <v>0</v>
          </cell>
          <cell r="K289" t="str">
            <v/>
          </cell>
          <cell r="L289"/>
          <cell r="M289"/>
          <cell r="N289"/>
          <cell r="O289"/>
        </row>
        <row r="290">
          <cell r="B290" t="str">
            <v>SARDINIA</v>
          </cell>
          <cell r="C290"/>
          <cell r="D290" t="str">
            <v/>
          </cell>
          <cell r="E290"/>
          <cell r="F290"/>
          <cell r="G290"/>
          <cell r="H290"/>
          <cell r="I290"/>
          <cell r="J290">
            <v>0</v>
          </cell>
          <cell r="K290" t="str">
            <v/>
          </cell>
          <cell r="L290"/>
          <cell r="M290"/>
          <cell r="N290"/>
          <cell r="O290"/>
        </row>
        <row r="291">
          <cell r="B291" t="str">
            <v>SASSARI</v>
          </cell>
          <cell r="C291"/>
          <cell r="D291" t="str">
            <v/>
          </cell>
          <cell r="E291"/>
          <cell r="F291"/>
          <cell r="G291"/>
          <cell r="H291"/>
          <cell r="I291"/>
          <cell r="J291">
            <v>0</v>
          </cell>
          <cell r="K291" t="str">
            <v/>
          </cell>
          <cell r="L291"/>
          <cell r="M291"/>
          <cell r="N291"/>
          <cell r="O291"/>
        </row>
        <row r="292">
          <cell r="B292" t="str">
            <v>SAVONA-JR</v>
          </cell>
          <cell r="C292" t="str">
            <v>GIRL'S COMPETITION POLO SHORT SLEEVE</v>
          </cell>
          <cell r="D292" t="str">
            <v>R.TOPKG_CPL</v>
          </cell>
          <cell r="E292" t="str">
            <v>RIDER</v>
          </cell>
          <cell r="F292" t="str">
            <v>JUNIOR</v>
          </cell>
          <cell r="G292" t="str">
            <v>TOPS</v>
          </cell>
          <cell r="H292" t="str">
            <v>KIDS GIRL</v>
          </cell>
          <cell r="I292" t="str">
            <v>COMPETITION POLOS</v>
          </cell>
          <cell r="J292" t="str">
            <v>COMPETITION POLO SHORT SLEEVE</v>
          </cell>
          <cell r="K292" t="str">
            <v>GIRL'S COMPETITION POLO SHORT SLEEVE</v>
          </cell>
          <cell r="L292"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292" t="str">
            <v>* Specially engineered design for high performance
* 4-way super stretch piquet jersey
* Soft and comfortable
* Breathable
* Quick dry
Composition:
95% Poliamide 5% Elasthane</v>
          </cell>
          <cell r="N292" t="str">
            <v>Machine Wash at 30°C
Mild process
Iron at low temperature
Iron from REVERSE
Do NOT iron on logos or prints
Do not bleach
Do NOT Tumble Dry</v>
          </cell>
          <cell r="O292" t="str">
            <v>KIZ ÇOCUK KISA KOL YARIŞMA POLO</v>
          </cell>
        </row>
        <row r="293">
          <cell r="B293" t="str">
            <v>SCOTLAND</v>
          </cell>
          <cell r="C293"/>
          <cell r="D293" t="str">
            <v/>
          </cell>
          <cell r="E293"/>
          <cell r="F293"/>
          <cell r="G293"/>
          <cell r="H293"/>
          <cell r="I293"/>
          <cell r="J293">
            <v>0</v>
          </cell>
          <cell r="K293" t="str">
            <v/>
          </cell>
          <cell r="L293"/>
          <cell r="M293"/>
          <cell r="N293"/>
          <cell r="O293"/>
        </row>
        <row r="294">
          <cell r="B294" t="str">
            <v>SCOTTSDALE</v>
          </cell>
          <cell r="C294"/>
          <cell r="D294" t="str">
            <v/>
          </cell>
          <cell r="E294"/>
          <cell r="F294"/>
          <cell r="G294"/>
          <cell r="H294"/>
          <cell r="I294"/>
          <cell r="J294">
            <v>0</v>
          </cell>
          <cell r="K294" t="str">
            <v/>
          </cell>
          <cell r="L294"/>
          <cell r="M294"/>
          <cell r="N294"/>
          <cell r="O294"/>
        </row>
        <row r="295">
          <cell r="B295" t="str">
            <v>SEATTLE</v>
          </cell>
          <cell r="C295"/>
          <cell r="D295" t="str">
            <v/>
          </cell>
          <cell r="E295"/>
          <cell r="F295"/>
          <cell r="G295"/>
          <cell r="H295"/>
          <cell r="I295"/>
          <cell r="J295">
            <v>0</v>
          </cell>
          <cell r="K295" t="str">
            <v/>
          </cell>
          <cell r="L295"/>
          <cell r="M295"/>
          <cell r="N295"/>
          <cell r="O295"/>
        </row>
        <row r="296">
          <cell r="B296" t="str">
            <v>SEOUL</v>
          </cell>
          <cell r="C296"/>
          <cell r="D296" t="str">
            <v/>
          </cell>
          <cell r="E296"/>
          <cell r="F296"/>
          <cell r="G296"/>
          <cell r="H296"/>
          <cell r="I296"/>
          <cell r="J296">
            <v>0</v>
          </cell>
          <cell r="K296" t="str">
            <v/>
          </cell>
          <cell r="L296"/>
          <cell r="M296"/>
          <cell r="N296"/>
          <cell r="O296"/>
        </row>
        <row r="297">
          <cell r="B297" t="str">
            <v>SEVILLE</v>
          </cell>
          <cell r="C297"/>
          <cell r="D297" t="str">
            <v/>
          </cell>
          <cell r="E297"/>
          <cell r="F297"/>
          <cell r="G297"/>
          <cell r="H297"/>
          <cell r="I297"/>
          <cell r="J297">
            <v>0</v>
          </cell>
          <cell r="K297" t="str">
            <v/>
          </cell>
          <cell r="L297"/>
          <cell r="M297"/>
          <cell r="N297"/>
          <cell r="O297"/>
        </row>
        <row r="298">
          <cell r="B298" t="str">
            <v>SHANGHAI</v>
          </cell>
          <cell r="C298"/>
          <cell r="D298" t="str">
            <v/>
          </cell>
          <cell r="E298"/>
          <cell r="F298"/>
          <cell r="G298"/>
          <cell r="H298"/>
          <cell r="I298"/>
          <cell r="J298">
            <v>0</v>
          </cell>
          <cell r="K298" t="str">
            <v/>
          </cell>
          <cell r="L298"/>
          <cell r="M298"/>
          <cell r="N298"/>
          <cell r="O298"/>
        </row>
        <row r="299">
          <cell r="B299" t="str">
            <v>SHEFFIELD</v>
          </cell>
          <cell r="C299"/>
          <cell r="D299" t="str">
            <v/>
          </cell>
          <cell r="E299"/>
          <cell r="F299"/>
          <cell r="G299"/>
          <cell r="H299"/>
          <cell r="I299"/>
          <cell r="J299">
            <v>0</v>
          </cell>
          <cell r="K299" t="str">
            <v/>
          </cell>
          <cell r="L299"/>
          <cell r="M299"/>
          <cell r="N299"/>
          <cell r="O299"/>
        </row>
        <row r="300">
          <cell r="B300" t="str">
            <v>SICILY</v>
          </cell>
          <cell r="C300"/>
          <cell r="D300" t="str">
            <v/>
          </cell>
          <cell r="E300"/>
          <cell r="F300"/>
          <cell r="G300"/>
          <cell r="H300"/>
          <cell r="I300"/>
          <cell r="J300">
            <v>0</v>
          </cell>
          <cell r="K300" t="str">
            <v/>
          </cell>
          <cell r="L300"/>
          <cell r="M300"/>
          <cell r="N300"/>
          <cell r="O300"/>
        </row>
        <row r="301">
          <cell r="B301" t="str">
            <v>SIENA</v>
          </cell>
          <cell r="C301"/>
          <cell r="D301" t="str">
            <v/>
          </cell>
          <cell r="E301"/>
          <cell r="F301"/>
          <cell r="G301"/>
          <cell r="H301"/>
          <cell r="I301"/>
          <cell r="J301">
            <v>0</v>
          </cell>
          <cell r="K301" t="str">
            <v/>
          </cell>
          <cell r="L301"/>
          <cell r="M301"/>
          <cell r="N301"/>
          <cell r="O301"/>
        </row>
        <row r="302">
          <cell r="B302" t="str">
            <v>SINGAPORE</v>
          </cell>
          <cell r="C302"/>
          <cell r="D302" t="str">
            <v/>
          </cell>
          <cell r="E302"/>
          <cell r="F302"/>
          <cell r="G302"/>
          <cell r="H302"/>
          <cell r="I302"/>
          <cell r="J302">
            <v>0</v>
          </cell>
          <cell r="K302" t="str">
            <v/>
          </cell>
          <cell r="L302"/>
          <cell r="M302"/>
          <cell r="N302"/>
          <cell r="O302"/>
        </row>
        <row r="303">
          <cell r="B303" t="str">
            <v>SOFIA</v>
          </cell>
          <cell r="C303"/>
          <cell r="D303" t="str">
            <v/>
          </cell>
          <cell r="E303"/>
          <cell r="F303"/>
          <cell r="G303"/>
          <cell r="H303"/>
          <cell r="I303"/>
          <cell r="J303">
            <v>0</v>
          </cell>
          <cell r="K303" t="str">
            <v/>
          </cell>
          <cell r="L303"/>
          <cell r="M303"/>
          <cell r="N303"/>
          <cell r="O303"/>
        </row>
        <row r="304">
          <cell r="B304" t="str">
            <v>SORRENTO</v>
          </cell>
          <cell r="C304"/>
          <cell r="D304" t="str">
            <v/>
          </cell>
          <cell r="E304"/>
          <cell r="F304"/>
          <cell r="G304"/>
          <cell r="H304"/>
          <cell r="I304"/>
          <cell r="J304">
            <v>0</v>
          </cell>
          <cell r="K304" t="str">
            <v/>
          </cell>
          <cell r="L304"/>
          <cell r="M304"/>
          <cell r="N304"/>
          <cell r="O304"/>
        </row>
        <row r="305">
          <cell r="B305" t="str">
            <v>SOUTHAMPTON</v>
          </cell>
          <cell r="C305"/>
          <cell r="D305" t="str">
            <v/>
          </cell>
          <cell r="E305"/>
          <cell r="F305"/>
          <cell r="G305"/>
          <cell r="H305"/>
          <cell r="I305"/>
          <cell r="J305">
            <v>0</v>
          </cell>
          <cell r="K305" t="str">
            <v/>
          </cell>
          <cell r="L305"/>
          <cell r="M305"/>
          <cell r="N305"/>
          <cell r="O305"/>
        </row>
        <row r="306">
          <cell r="B306" t="str">
            <v>ST. ANDREWS</v>
          </cell>
          <cell r="C306"/>
          <cell r="D306" t="str">
            <v/>
          </cell>
          <cell r="E306"/>
          <cell r="F306"/>
          <cell r="G306"/>
          <cell r="H306"/>
          <cell r="I306"/>
          <cell r="J306">
            <v>0</v>
          </cell>
          <cell r="K306" t="str">
            <v/>
          </cell>
          <cell r="L306"/>
          <cell r="M306"/>
          <cell r="N306"/>
          <cell r="O306"/>
        </row>
        <row r="307">
          <cell r="B307" t="str">
            <v>ST. PETERSBURG</v>
          </cell>
          <cell r="C307"/>
          <cell r="D307" t="str">
            <v/>
          </cell>
          <cell r="E307"/>
          <cell r="F307"/>
          <cell r="G307"/>
          <cell r="H307"/>
          <cell r="I307"/>
          <cell r="J307">
            <v>0</v>
          </cell>
          <cell r="K307" t="str">
            <v/>
          </cell>
          <cell r="L307"/>
          <cell r="M307"/>
          <cell r="N307"/>
          <cell r="O307"/>
        </row>
        <row r="308">
          <cell r="B308" t="str">
            <v>STAR</v>
          </cell>
          <cell r="C308" t="str">
            <v>GIRL'S COMPETITION POLO SHORT SLEEVE</v>
          </cell>
          <cell r="D308" t="str">
            <v>R.TOPKG_CPL</v>
          </cell>
          <cell r="E308" t="str">
            <v>RIDER</v>
          </cell>
          <cell r="F308" t="str">
            <v>JUNIOR</v>
          </cell>
          <cell r="G308" t="str">
            <v>TOPS</v>
          </cell>
          <cell r="H308" t="str">
            <v>KIDS GIRL</v>
          </cell>
          <cell r="I308" t="str">
            <v>COMPETITION POLOS</v>
          </cell>
          <cell r="J308" t="str">
            <v>COMPETITION POLO SHORT SLEEVE</v>
          </cell>
          <cell r="K308" t="str">
            <v>GIRL'S COMPETITION POLO SHORT SLEEVE</v>
          </cell>
          <cell r="L308"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308" t="str">
            <v>* Specially engineered design for high performance
* 4-way super stretch piquet jersey
* Soft and comfortable
* Breathable
* Quick dry
Composition:
95% Poliamide 5% Elasthane</v>
          </cell>
          <cell r="N308" t="str">
            <v>Machine Wash at 30°C
Mild process
Iron at low temperature
Iron from REVERSE
Do NOT iron on logos or prints
Do not bleach
Do NOT Tumble Dry</v>
          </cell>
          <cell r="O308" t="str">
            <v>KIZ ÇOCUK KISA KOL YARIŞMA POLO</v>
          </cell>
        </row>
        <row r="309">
          <cell r="B309" t="str">
            <v>STELLA</v>
          </cell>
          <cell r="C309"/>
          <cell r="D309" t="str">
            <v/>
          </cell>
          <cell r="E309"/>
          <cell r="F309"/>
          <cell r="G309"/>
          <cell r="H309"/>
          <cell r="I309"/>
          <cell r="J309">
            <v>0</v>
          </cell>
          <cell r="K309" t="str">
            <v/>
          </cell>
          <cell r="L309"/>
          <cell r="M309"/>
          <cell r="N309"/>
          <cell r="O309"/>
        </row>
        <row r="310">
          <cell r="B310" t="str">
            <v>STOCKHOLM</v>
          </cell>
          <cell r="C310"/>
          <cell r="D310" t="str">
            <v/>
          </cell>
          <cell r="E310"/>
          <cell r="F310"/>
          <cell r="G310"/>
          <cell r="H310"/>
          <cell r="I310"/>
          <cell r="J310">
            <v>0</v>
          </cell>
          <cell r="K310" t="str">
            <v/>
          </cell>
          <cell r="L310"/>
          <cell r="M310"/>
          <cell r="N310"/>
          <cell r="O310"/>
        </row>
        <row r="311">
          <cell r="B311" t="str">
            <v>STRASBOURG</v>
          </cell>
          <cell r="C311"/>
          <cell r="D311" t="str">
            <v/>
          </cell>
          <cell r="E311"/>
          <cell r="F311"/>
          <cell r="G311"/>
          <cell r="H311"/>
          <cell r="I311"/>
          <cell r="J311">
            <v>0</v>
          </cell>
          <cell r="K311" t="str">
            <v/>
          </cell>
          <cell r="L311"/>
          <cell r="M311"/>
          <cell r="N311"/>
          <cell r="O311"/>
        </row>
        <row r="312">
          <cell r="B312" t="str">
            <v>SYDNEY</v>
          </cell>
          <cell r="C312"/>
          <cell r="D312" t="str">
            <v/>
          </cell>
          <cell r="E312"/>
          <cell r="F312"/>
          <cell r="G312"/>
          <cell r="H312"/>
          <cell r="I312"/>
          <cell r="J312">
            <v>0</v>
          </cell>
          <cell r="K312" t="str">
            <v/>
          </cell>
          <cell r="L312"/>
          <cell r="M312"/>
          <cell r="N312"/>
          <cell r="O312"/>
        </row>
        <row r="313">
          <cell r="B313" t="str">
            <v>TAHITI</v>
          </cell>
          <cell r="C313"/>
          <cell r="D313" t="str">
            <v/>
          </cell>
          <cell r="E313"/>
          <cell r="F313"/>
          <cell r="G313"/>
          <cell r="H313"/>
          <cell r="I313"/>
          <cell r="J313">
            <v>0</v>
          </cell>
          <cell r="K313" t="str">
            <v/>
          </cell>
          <cell r="L313"/>
          <cell r="M313"/>
          <cell r="N313"/>
          <cell r="O313"/>
        </row>
        <row r="314">
          <cell r="B314" t="str">
            <v>TAMPA</v>
          </cell>
          <cell r="C314"/>
          <cell r="D314" t="str">
            <v/>
          </cell>
          <cell r="E314"/>
          <cell r="F314"/>
          <cell r="G314"/>
          <cell r="H314"/>
          <cell r="I314"/>
          <cell r="J314">
            <v>0</v>
          </cell>
          <cell r="K314" t="str">
            <v/>
          </cell>
          <cell r="L314"/>
          <cell r="M314"/>
          <cell r="N314"/>
          <cell r="O314"/>
        </row>
        <row r="315">
          <cell r="B315" t="str">
            <v>TENNESSEE</v>
          </cell>
          <cell r="C315"/>
          <cell r="D315" t="str">
            <v/>
          </cell>
          <cell r="E315"/>
          <cell r="F315"/>
          <cell r="G315"/>
          <cell r="H315"/>
          <cell r="I315"/>
          <cell r="J315">
            <v>0</v>
          </cell>
          <cell r="K315" t="str">
            <v/>
          </cell>
          <cell r="L315"/>
          <cell r="M315"/>
          <cell r="N315"/>
          <cell r="O315"/>
        </row>
        <row r="316">
          <cell r="B316" t="str">
            <v>TEXAS</v>
          </cell>
          <cell r="C316"/>
          <cell r="D316" t="str">
            <v/>
          </cell>
          <cell r="E316"/>
          <cell r="F316"/>
          <cell r="G316"/>
          <cell r="H316"/>
          <cell r="I316"/>
          <cell r="J316">
            <v>0</v>
          </cell>
          <cell r="K316" t="str">
            <v/>
          </cell>
          <cell r="L316"/>
          <cell r="M316"/>
          <cell r="N316"/>
          <cell r="O316"/>
        </row>
        <row r="317">
          <cell r="B317" t="str">
            <v>THE BAHAMAS</v>
          </cell>
          <cell r="C317"/>
          <cell r="D317" t="str">
            <v/>
          </cell>
          <cell r="E317"/>
          <cell r="F317"/>
          <cell r="G317"/>
          <cell r="H317"/>
          <cell r="I317"/>
          <cell r="J317">
            <v>0</v>
          </cell>
          <cell r="K317" t="str">
            <v/>
          </cell>
          <cell r="L317"/>
          <cell r="M317"/>
          <cell r="N317"/>
          <cell r="O317"/>
        </row>
        <row r="318">
          <cell r="B318" t="str">
            <v>TIVOLI</v>
          </cell>
          <cell r="C318"/>
          <cell r="D318" t="str">
            <v/>
          </cell>
          <cell r="E318"/>
          <cell r="F318"/>
          <cell r="G318"/>
          <cell r="H318"/>
          <cell r="I318"/>
          <cell r="J318">
            <v>0</v>
          </cell>
          <cell r="K318" t="str">
            <v/>
          </cell>
          <cell r="L318"/>
          <cell r="M318"/>
          <cell r="N318"/>
          <cell r="O318"/>
        </row>
        <row r="319">
          <cell r="B319" t="str">
            <v>TOKYO</v>
          </cell>
          <cell r="C319"/>
          <cell r="D319" t="str">
            <v/>
          </cell>
          <cell r="E319"/>
          <cell r="F319"/>
          <cell r="G319"/>
          <cell r="H319"/>
          <cell r="I319"/>
          <cell r="J319">
            <v>0</v>
          </cell>
          <cell r="K319" t="str">
            <v/>
          </cell>
          <cell r="L319"/>
          <cell r="M319"/>
          <cell r="N319"/>
          <cell r="O319"/>
        </row>
        <row r="320">
          <cell r="B320" t="str">
            <v>TOLEDO</v>
          </cell>
          <cell r="C320"/>
          <cell r="D320" t="str">
            <v/>
          </cell>
          <cell r="E320"/>
          <cell r="F320"/>
          <cell r="G320"/>
          <cell r="H320"/>
          <cell r="I320"/>
          <cell r="J320">
            <v>0</v>
          </cell>
          <cell r="K320" t="str">
            <v/>
          </cell>
          <cell r="L320"/>
          <cell r="M320"/>
          <cell r="N320"/>
          <cell r="O320"/>
        </row>
        <row r="321">
          <cell r="B321" t="str">
            <v>TOLENTINO</v>
          </cell>
          <cell r="C321"/>
          <cell r="D321" t="str">
            <v/>
          </cell>
          <cell r="E321"/>
          <cell r="F321"/>
          <cell r="G321"/>
          <cell r="H321"/>
          <cell r="I321"/>
          <cell r="J321">
            <v>0</v>
          </cell>
          <cell r="K321" t="str">
            <v/>
          </cell>
          <cell r="L321"/>
          <cell r="M321"/>
          <cell r="N321"/>
          <cell r="O321"/>
        </row>
        <row r="322">
          <cell r="B322" t="str">
            <v>TORINO</v>
          </cell>
          <cell r="C322" t="str">
            <v>WINTER RIDING SOCKS</v>
          </cell>
          <cell r="D322" t="str">
            <v>A.RACAU_SOC</v>
          </cell>
          <cell r="E322" t="str">
            <v>ACCESSORIES</v>
          </cell>
          <cell r="F322" t="str">
            <v>ACCESSORIES</v>
          </cell>
          <cell r="G322" t="str">
            <v>RIDER ACCESSORIES</v>
          </cell>
          <cell r="H322" t="str">
            <v>ADULTS UNISEX</v>
          </cell>
          <cell r="I322" t="str">
            <v>RIDING SOCKS</v>
          </cell>
          <cell r="J322" t="str">
            <v>RIDING SOCKS</v>
          </cell>
          <cell r="K322" t="str">
            <v>WINTER RIDING SOCKS</v>
          </cell>
          <cell r="L322" t="str">
            <v xml:space="preserve">TORINO
THERMAL RIDING SOCKS
Specially designed for riders
WINTER SOCKS X UNISEX 
</v>
          </cell>
          <cell r="M322" t="str">
            <v xml:space="preserve">76% Polyamide, 11% Wool, 11% Acrylic, 2% Elasthane      
(50% Wool in foot bottom)      
Technical Features:      
Merino Wool blended towel bottom to keep your feet extra warm      
Breathable, Anti-bacterial, anti-moisture technology to absorb sweating      
Engineered design for ankle grip      
Heel and front foot reinforced for high durability      
Lighter weight fabric around the leg to avoid unnecessary over-layering  </v>
          </cell>
          <cell r="N322" t="str">
            <v xml:space="preserve">For best use we recommend hand-wash    
or Machine wash at 30C with hand-wash setting    
DO NOT TUMBLE DRY  </v>
          </cell>
          <cell r="O322" t="str">
            <v>KIŞLIK BİNİCİ ÇORABI</v>
          </cell>
        </row>
        <row r="323">
          <cell r="B323" t="str">
            <v>TORINO-2XB</v>
          </cell>
          <cell r="C323" t="str">
            <v>WINTER RIDING SOCKS 
2 PACK BUNDLE</v>
          </cell>
          <cell r="D323" t="str">
            <v>A.RACAU_SOC</v>
          </cell>
          <cell r="E323" t="str">
            <v>ACCESSORIES</v>
          </cell>
          <cell r="F323" t="str">
            <v>ACCESSORIES</v>
          </cell>
          <cell r="G323" t="str">
            <v>RIDER ACCESSORIES</v>
          </cell>
          <cell r="H323" t="str">
            <v>ADULTS UNISEX</v>
          </cell>
          <cell r="I323" t="str">
            <v>RIDING SOCKS</v>
          </cell>
          <cell r="J323" t="str">
            <v>RIDING SOCKS</v>
          </cell>
          <cell r="K323" t="str">
            <v>WINTER RIDING SOCKS 
2 PACK BUNDLE</v>
          </cell>
          <cell r="L323" t="str">
            <v xml:space="preserve">TORINO 2 PACK BUNDLE
THERMAL RIDING SOCKS
Specially designed for riders
WINTER SOCKS X UNISEX 
</v>
          </cell>
          <cell r="M323" t="str">
            <v xml:space="preserve">76% Polyamide, 11% Wool, 11% Acrylic, 2% Elasthane      
(50% Wool in foot bottom)      
Technical Features:      
Merino Wool blended towel bottom to keep your feet extra warm      
Breathable, Anti-bacterial, anti-moisture technology to absorb sweating      
Engineered design for ankle grip      
Heel and front foot reinforced for high durability      
Lighter weight fabric around the leg to avoid unnecessary over-layering  </v>
          </cell>
          <cell r="N323" t="str">
            <v xml:space="preserve">For best use we recommend hand-wash    
or Machine wash at 30C with hand-wash setting    
DO NOT TUMBLE DRY  </v>
          </cell>
          <cell r="O323" t="str">
            <v>KIŞLIK BİNİCİ ÇORABI
2'Lİ PAKET</v>
          </cell>
        </row>
        <row r="324">
          <cell r="B324" t="str">
            <v>TORONTO</v>
          </cell>
          <cell r="C324" t="str">
            <v>FLEECE BLANKET</v>
          </cell>
          <cell r="D324" t="str">
            <v>H.RUGFL_FLC</v>
          </cell>
          <cell r="E324" t="str">
            <v>HORSE</v>
          </cell>
          <cell r="F324" t="str">
            <v>HORSE</v>
          </cell>
          <cell r="G324" t="str">
            <v>RUGS</v>
          </cell>
          <cell r="H324" t="str">
            <v>FULL</v>
          </cell>
          <cell r="I324" t="str">
            <v>FLEECE BLANKETS</v>
          </cell>
          <cell r="J324" t="str">
            <v>FLEECE BLANKETS</v>
          </cell>
          <cell r="K324" t="str">
            <v>FLEECE BLANKET</v>
          </cell>
          <cell r="L324" t="str">
            <v>High density and high quality cooler fleece blanket will keep your horse extra warm while allowing cool down.
These soft and beautiful fleece blankets come in a wide variety of profound and nice colors.</v>
          </cell>
          <cell r="M324" t="str">
            <v xml:space="preserve">*High density fleece fabric
*Super soft hand feel
*Keeps warmer with respect to traditional standard density fleece blankets
Composition:
100% Polyester
</v>
          </cell>
          <cell r="N324" t="str">
            <v>Machine Wash at 30°C
Mild process
Do not bleach
Do NOT Tumble Dry</v>
          </cell>
          <cell r="O324" t="str">
            <v>POLAR BLANKET</v>
          </cell>
        </row>
        <row r="325">
          <cell r="B325" t="str">
            <v>TORONTO-P</v>
          </cell>
          <cell r="C325" t="str">
            <v>FLEECE BLANKET</v>
          </cell>
          <cell r="D325" t="str">
            <v>H.RUGPN_FLC</v>
          </cell>
          <cell r="E325" t="str">
            <v>HORSE</v>
          </cell>
          <cell r="F325" t="str">
            <v>PONY</v>
          </cell>
          <cell r="G325" t="str">
            <v>RUGS</v>
          </cell>
          <cell r="H325" t="str">
            <v>PONY</v>
          </cell>
          <cell r="I325" t="str">
            <v>FLEECE BLANKETS</v>
          </cell>
          <cell r="J325" t="str">
            <v>FLEECE BLANKETS</v>
          </cell>
          <cell r="K325" t="str">
            <v>PONY - FLEECE BLANKET</v>
          </cell>
          <cell r="L325" t="str">
            <v>High density and high quality cooler fleece blanket will keep your pony extra warm while allowing cool down.
These soft and beautiful fleece blankets come in a wide variety of profound and nice colors.</v>
          </cell>
          <cell r="M325" t="str">
            <v xml:space="preserve">*High density fleece fabric
*Super soft hand feel
*Keeps warmer with respect to traditional standard density fleece blankets
Composition:
100% Polyester
</v>
          </cell>
          <cell r="N325" t="str">
            <v>Machine Wash at 30°C
Mild process
Do not bleach
Do NOT Tumble Dry</v>
          </cell>
          <cell r="O325" t="str">
            <v>PONY POLAR BLANKET</v>
          </cell>
        </row>
        <row r="326">
          <cell r="B326" t="str">
            <v>TREVISO</v>
          </cell>
          <cell r="C326"/>
          <cell r="D326" t="str">
            <v/>
          </cell>
          <cell r="E326"/>
          <cell r="F326"/>
          <cell r="G326"/>
          <cell r="H326"/>
          <cell r="I326"/>
          <cell r="J326">
            <v>0</v>
          </cell>
          <cell r="K326" t="str">
            <v/>
          </cell>
          <cell r="L326"/>
          <cell r="M326"/>
          <cell r="N326"/>
          <cell r="O326"/>
        </row>
        <row r="327">
          <cell r="B327" t="str">
            <v>UDINE</v>
          </cell>
          <cell r="C327"/>
          <cell r="D327" t="str">
            <v/>
          </cell>
          <cell r="E327"/>
          <cell r="F327"/>
          <cell r="G327"/>
          <cell r="H327"/>
          <cell r="I327"/>
          <cell r="J327">
            <v>0</v>
          </cell>
          <cell r="K327" t="str">
            <v/>
          </cell>
          <cell r="L327"/>
          <cell r="M327"/>
          <cell r="N327"/>
          <cell r="O327"/>
        </row>
        <row r="328">
          <cell r="B328" t="str">
            <v>UTAH</v>
          </cell>
          <cell r="C328"/>
          <cell r="D328" t="str">
            <v/>
          </cell>
          <cell r="E328"/>
          <cell r="F328"/>
          <cell r="G328"/>
          <cell r="H328"/>
          <cell r="I328"/>
          <cell r="J328">
            <v>0</v>
          </cell>
          <cell r="K328" t="str">
            <v/>
          </cell>
          <cell r="L328"/>
          <cell r="M328"/>
          <cell r="N328"/>
          <cell r="O328"/>
        </row>
        <row r="329">
          <cell r="B329" t="str">
            <v>VALENCIA</v>
          </cell>
          <cell r="C329"/>
          <cell r="D329" t="str">
            <v/>
          </cell>
          <cell r="E329"/>
          <cell r="F329"/>
          <cell r="G329"/>
          <cell r="H329"/>
          <cell r="I329"/>
          <cell r="J329">
            <v>0</v>
          </cell>
          <cell r="K329" t="str">
            <v/>
          </cell>
          <cell r="L329"/>
          <cell r="M329"/>
          <cell r="N329"/>
          <cell r="O329"/>
        </row>
        <row r="330">
          <cell r="B330" t="str">
            <v>VALKENSWAARD</v>
          </cell>
          <cell r="C330"/>
          <cell r="D330" t="str">
            <v/>
          </cell>
          <cell r="E330"/>
          <cell r="F330"/>
          <cell r="G330"/>
          <cell r="H330"/>
          <cell r="I330"/>
          <cell r="J330">
            <v>0</v>
          </cell>
          <cell r="K330" t="str">
            <v/>
          </cell>
          <cell r="L330"/>
          <cell r="M330"/>
          <cell r="N330"/>
          <cell r="O330"/>
        </row>
        <row r="331">
          <cell r="B331" t="str">
            <v>VANCOUVER</v>
          </cell>
          <cell r="C331"/>
          <cell r="D331" t="str">
            <v/>
          </cell>
          <cell r="E331"/>
          <cell r="F331"/>
          <cell r="G331"/>
          <cell r="H331"/>
          <cell r="I331"/>
          <cell r="J331">
            <v>0</v>
          </cell>
          <cell r="K331" t="str">
            <v/>
          </cell>
          <cell r="L331"/>
          <cell r="M331"/>
          <cell r="N331"/>
          <cell r="O331"/>
        </row>
        <row r="332">
          <cell r="B332" t="str">
            <v>VARESE</v>
          </cell>
          <cell r="C332"/>
          <cell r="D332" t="str">
            <v/>
          </cell>
          <cell r="E332"/>
          <cell r="F332"/>
          <cell r="G332"/>
          <cell r="H332"/>
          <cell r="I332"/>
          <cell r="J332">
            <v>0</v>
          </cell>
          <cell r="K332" t="str">
            <v/>
          </cell>
          <cell r="L332"/>
          <cell r="M332"/>
          <cell r="N332"/>
          <cell r="O332"/>
        </row>
        <row r="333">
          <cell r="B333" t="str">
            <v>VENETA</v>
          </cell>
          <cell r="C333" t="str">
            <v>WOMEN'S OVERSIZE CASUAL SHIRT</v>
          </cell>
          <cell r="D333" t="str">
            <v>R.TOPWN_CSS</v>
          </cell>
          <cell r="E333" t="str">
            <v>RIDER</v>
          </cell>
          <cell r="F333" t="str">
            <v>WOMEN</v>
          </cell>
          <cell r="G333" t="str">
            <v>TOPS</v>
          </cell>
          <cell r="H333" t="str">
            <v>WOMEN</v>
          </cell>
          <cell r="I333" t="str">
            <v>CASUAL SHIRTS</v>
          </cell>
          <cell r="J333" t="str">
            <v>COMPETITION SHIRTS LONG SLEEVE</v>
          </cell>
          <cell r="K333" t="str">
            <v>WOMEN'S OVERSIZE CASUAL SHIRT</v>
          </cell>
          <cell r="L333" t="str">
            <v>The fashion style meets the arena. Developed in parallel to the high fashion brands' "tech series" these shirts are made with high quality technical fabric to provide max comfort and elegance during training.
The special polyamide jersey fabric will move with your body in such a harmony that you will hardly feel its existence.
Last but not least, you can wear them both in daily life and in the arena.</v>
          </cell>
          <cell r="M333" t="str">
            <v>* Specially engineered design for high performance
* 4-way super stretch supreme jersey
* Soft and comfortable
* Breathable
* Quick dry
Composition:
75% Poliamide 25% Elasthane</v>
          </cell>
          <cell r="N333" t="str">
            <v>Machine Wash at 30°C
Mild process
Iron at low temperature
Iron from REVERSE
Do NOT iron on logos or prints
Do not bleach
Do NOT Tumble Dry</v>
          </cell>
          <cell r="O333" t="str">
            <v>KADIN OVERSIZE CASUAL GÖMLEK</v>
          </cell>
        </row>
        <row r="334">
          <cell r="B334" t="str">
            <v>VENEZIA</v>
          </cell>
          <cell r="C334" t="str">
            <v>WOMEN'S COMPETITION POLO SHORT SLEEVE</v>
          </cell>
          <cell r="D334" t="str">
            <v>R.TOPWN_CPL</v>
          </cell>
          <cell r="E334" t="str">
            <v>RIDER</v>
          </cell>
          <cell r="F334" t="str">
            <v>WOMEN</v>
          </cell>
          <cell r="G334" t="str">
            <v>TOPS</v>
          </cell>
          <cell r="H334" t="str">
            <v>WOMEN</v>
          </cell>
          <cell r="I334" t="str">
            <v>COMPETITION POLOS</v>
          </cell>
          <cell r="J334" t="str">
            <v>COMPETITION POLO SHORT SLEEVE</v>
          </cell>
          <cell r="K334" t="str">
            <v>WOMEN'S COMPETITION POLO SHORT SLEEVE - WITH STRASS DETAIL</v>
          </cell>
          <cell r="L334" t="str">
            <v>Our most popular and demanded competition polos are made with high quality technical fabric to match up to your high performance needs during shows.
This particular style comes with an elegant Strass detail on the placket.
The special polyamide piquet jersey fabric will move with your body in such a harmony that you will hardly feel its existence.
The eye-catching fit and design is coming by default.</v>
          </cell>
          <cell r="M334" t="str">
            <v>* Specially engineered design for high performance
* 4-way super stretch piquet jersey
* Soft and comfortable
* Breathable
* Quick dry
Composition:
95% Poliamide 5% Elasthane</v>
          </cell>
          <cell r="N334" t="str">
            <v>Machine Wash at 30°C
Mild process
Iron at low temperature
Iron from REVERSE
Do NOT iron on logos or prints
Do not bleach
Do NOT Tumble Dry</v>
          </cell>
          <cell r="O334" t="str">
            <v>STRASS TAŞ DETAYLI KADIN KISA KOL YARIŞMA POLO</v>
          </cell>
        </row>
        <row r="335">
          <cell r="B335" t="str">
            <v>VENICE</v>
          </cell>
          <cell r="C335"/>
          <cell r="D335" t="str">
            <v/>
          </cell>
          <cell r="E335"/>
          <cell r="F335"/>
          <cell r="G335"/>
          <cell r="H335"/>
          <cell r="I335"/>
          <cell r="J335">
            <v>0</v>
          </cell>
          <cell r="K335" t="str">
            <v/>
          </cell>
          <cell r="L335"/>
          <cell r="M335"/>
          <cell r="N335"/>
          <cell r="O335"/>
        </row>
        <row r="336">
          <cell r="B336" t="str">
            <v>VERMONT</v>
          </cell>
          <cell r="C336"/>
          <cell r="D336" t="str">
            <v/>
          </cell>
          <cell r="E336"/>
          <cell r="F336"/>
          <cell r="G336"/>
          <cell r="H336"/>
          <cell r="I336"/>
          <cell r="J336">
            <v>0</v>
          </cell>
          <cell r="K336" t="str">
            <v/>
          </cell>
          <cell r="L336"/>
          <cell r="M336"/>
          <cell r="N336"/>
          <cell r="O336"/>
        </row>
        <row r="337">
          <cell r="B337" t="str">
            <v>VERONA</v>
          </cell>
          <cell r="C337" t="str">
            <v>WOMEN'S COMPETITION POLO SHORT SLEEVE</v>
          </cell>
          <cell r="D337" t="str">
            <v>R.TOPWN_CPL</v>
          </cell>
          <cell r="E337" t="str">
            <v>RIDER</v>
          </cell>
          <cell r="F337" t="str">
            <v>WOMEN</v>
          </cell>
          <cell r="G337" t="str">
            <v>TOPS</v>
          </cell>
          <cell r="H337" t="str">
            <v>WOMEN</v>
          </cell>
          <cell r="I337" t="str">
            <v>COMPETITION POLOS</v>
          </cell>
          <cell r="J337" t="str">
            <v>COMPETITION POLO SHORT SLEEVE</v>
          </cell>
          <cell r="K337" t="str">
            <v>WOMEN'S COMPETITION POLO SHORT SLEEVE</v>
          </cell>
          <cell r="L337"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337" t="str">
            <v>* Specially engineered design for high performance
* 4-way super stretch piquet jersey
* Soft and comfortable
* Breathable
* Quick dry
Composition:
95% Poliamide 5% Elasthane</v>
          </cell>
          <cell r="N337" t="str">
            <v>Machine Wash at 30°C
Mild process
Iron at low temperature
Iron from REVERSE
Do NOT iron on logos or prints
Do not bleach
Do NOT Tumble Dry</v>
          </cell>
          <cell r="O337" t="str">
            <v>KADIN KISA KOL YARIŞMA POLO</v>
          </cell>
        </row>
        <row r="338">
          <cell r="B338" t="str">
            <v>VICENZA</v>
          </cell>
          <cell r="C338"/>
          <cell r="D338" t="str">
            <v/>
          </cell>
          <cell r="E338"/>
          <cell r="F338"/>
          <cell r="G338"/>
          <cell r="H338"/>
          <cell r="I338"/>
          <cell r="J338">
            <v>0</v>
          </cell>
          <cell r="K338" t="str">
            <v/>
          </cell>
          <cell r="L338"/>
          <cell r="M338"/>
          <cell r="N338"/>
          <cell r="O338"/>
        </row>
        <row r="339">
          <cell r="B339" t="str">
            <v>VICTORIA</v>
          </cell>
          <cell r="C339"/>
          <cell r="D339" t="str">
            <v/>
          </cell>
          <cell r="E339"/>
          <cell r="F339"/>
          <cell r="G339"/>
          <cell r="H339"/>
          <cell r="I339"/>
          <cell r="J339">
            <v>0</v>
          </cell>
          <cell r="K339" t="str">
            <v/>
          </cell>
          <cell r="L339"/>
          <cell r="M339"/>
          <cell r="N339"/>
          <cell r="O339"/>
        </row>
        <row r="340">
          <cell r="B340" t="str">
            <v>VIRGINIA</v>
          </cell>
          <cell r="C340"/>
          <cell r="D340" t="str">
            <v/>
          </cell>
          <cell r="E340"/>
          <cell r="F340"/>
          <cell r="G340"/>
          <cell r="H340"/>
          <cell r="I340"/>
          <cell r="J340">
            <v>0</v>
          </cell>
          <cell r="K340" t="str">
            <v/>
          </cell>
          <cell r="L340"/>
          <cell r="M340"/>
          <cell r="N340"/>
          <cell r="O340"/>
        </row>
        <row r="341">
          <cell r="B341" t="str">
            <v>VITTORIA</v>
          </cell>
          <cell r="C341"/>
          <cell r="D341" t="str">
            <v/>
          </cell>
          <cell r="E341"/>
          <cell r="F341"/>
          <cell r="G341"/>
          <cell r="H341"/>
          <cell r="I341"/>
          <cell r="J341">
            <v>0</v>
          </cell>
          <cell r="K341" t="str">
            <v/>
          </cell>
          <cell r="L341"/>
          <cell r="M341"/>
          <cell r="N341"/>
          <cell r="O341"/>
        </row>
        <row r="342">
          <cell r="B342" t="str">
            <v>VOLARE</v>
          </cell>
          <cell r="C342" t="str">
            <v>FLY SHEET</v>
          </cell>
          <cell r="D342" t="str">
            <v>H.FLYFL_FLS</v>
          </cell>
          <cell r="E342" t="str">
            <v>HORSE</v>
          </cell>
          <cell r="F342" t="str">
            <v>HORSE</v>
          </cell>
          <cell r="G342" t="str">
            <v>FLY PROTECTION</v>
          </cell>
          <cell r="H342" t="str">
            <v>FULL</v>
          </cell>
          <cell r="I342" t="str">
            <v>FLY SHEETS</v>
          </cell>
          <cell r="J342" t="str">
            <v>FLY SHEETS</v>
          </cell>
          <cell r="K342" t="str">
            <v>FLY SHEET</v>
          </cell>
          <cell r="L342" t="str">
            <v>Light fly sheet to protect your horse from disturbing and annoying flies</v>
          </cell>
          <cell r="M342" t="str">
            <v>*Very light and fine density micro polyester mesh fabric
*Breathable texture to allow air flowing
Composition:
100% Micro Polyester</v>
          </cell>
          <cell r="N342" t="str">
            <v>Machine Wash at 30°C
Mild process
Do not bleach
Do NOT Tumble Dry</v>
          </cell>
          <cell r="O342" t="str">
            <v>SİNEKLİK BLANKET</v>
          </cell>
        </row>
        <row r="343">
          <cell r="B343" t="str">
            <v>VOLARE-P</v>
          </cell>
          <cell r="C343" t="str">
            <v>FLY SHEET</v>
          </cell>
          <cell r="D343" t="str">
            <v>H.FLYPN_FLS</v>
          </cell>
          <cell r="E343" t="str">
            <v>HORSE</v>
          </cell>
          <cell r="F343" t="str">
            <v>PONY</v>
          </cell>
          <cell r="G343" t="str">
            <v>FLY PROTECTION</v>
          </cell>
          <cell r="H343" t="str">
            <v>PONY</v>
          </cell>
          <cell r="I343" t="str">
            <v>FLY SHEETS</v>
          </cell>
          <cell r="J343" t="str">
            <v>FLY SHEETS</v>
          </cell>
          <cell r="K343" t="str">
            <v>PONY - FLY SHEET</v>
          </cell>
          <cell r="L343" t="str">
            <v>Light fly sheet to protect your pony from disturbing and annoying flies</v>
          </cell>
          <cell r="M343" t="str">
            <v>*Very light and fine density micro polyester mesh fabric
*Breathable texture to allow air flowing
Composition:
100% Micro Polyester</v>
          </cell>
          <cell r="N343" t="str">
            <v>Machine Wash at 30°C
Mild process
Do not bleach
Do NOT Tumble Dry</v>
          </cell>
          <cell r="O343" t="str">
            <v>PONY SİNEKLİK BLANKET</v>
          </cell>
        </row>
        <row r="344">
          <cell r="B344" t="str">
            <v>WASHINGTON</v>
          </cell>
          <cell r="C344"/>
          <cell r="D344" t="str">
            <v/>
          </cell>
          <cell r="E344"/>
          <cell r="F344"/>
          <cell r="G344"/>
          <cell r="H344"/>
          <cell r="I344"/>
          <cell r="J344">
            <v>0</v>
          </cell>
          <cell r="K344" t="str">
            <v/>
          </cell>
          <cell r="L344"/>
          <cell r="M344"/>
          <cell r="N344"/>
          <cell r="O344"/>
        </row>
        <row r="345">
          <cell r="B345" t="str">
            <v>WIMBLEDON</v>
          </cell>
          <cell r="C345"/>
          <cell r="D345" t="str">
            <v/>
          </cell>
          <cell r="E345"/>
          <cell r="F345"/>
          <cell r="G345"/>
          <cell r="H345"/>
          <cell r="I345"/>
          <cell r="J345">
            <v>0</v>
          </cell>
          <cell r="K345" t="str">
            <v/>
          </cell>
          <cell r="L345"/>
          <cell r="M345"/>
          <cell r="N345"/>
          <cell r="O345"/>
        </row>
        <row r="346">
          <cell r="B346" t="str">
            <v>WINDSOR</v>
          </cell>
          <cell r="C346" t="str">
            <v>FLEECE BLANKET WITH COLLAR</v>
          </cell>
          <cell r="D346" t="str">
            <v>H.RUGFL_FLC</v>
          </cell>
          <cell r="E346" t="str">
            <v>HORSE</v>
          </cell>
          <cell r="F346" t="str">
            <v>HORSE</v>
          </cell>
          <cell r="G346" t="str">
            <v>RUGS</v>
          </cell>
          <cell r="H346" t="str">
            <v>FULL</v>
          </cell>
          <cell r="I346" t="str">
            <v>FLEECE BLANKETS</v>
          </cell>
          <cell r="J346" t="str">
            <v>FLEECE BLANKETS</v>
          </cell>
          <cell r="K346" t="str">
            <v>FLEECE BLANKET WITH COLLAR</v>
          </cell>
          <cell r="L346" t="str">
            <v>The cooler with an aristocratic collar to give your horse a more prestigious look!
High density and high quality cooler fleece blanket will keep your horse extra warm while allowing cool down.
These soft and beautiful fleece blankets come in a wide variety of profound and nice colors.</v>
          </cell>
          <cell r="M346" t="str">
            <v xml:space="preserve">*High density fleece fabric
*Super soft hand feel
*Keeps warmer with respect to traditional standard density fleece blankets
Composition:
100% Polyester
</v>
          </cell>
          <cell r="N346" t="str">
            <v>Machine Wash at 30°C
Mild process
Do not bleach
Do NOT Tumble Dry</v>
          </cell>
          <cell r="O346" t="str">
            <v>YAKALI POLAR BLANKET</v>
          </cell>
        </row>
        <row r="347">
          <cell r="B347" t="str">
            <v>WINDSOR-P</v>
          </cell>
          <cell r="C347" t="str">
            <v>FLEECE BLANKET WITH COLLAR</v>
          </cell>
          <cell r="D347" t="str">
            <v>H.RUGPN_FLC</v>
          </cell>
          <cell r="E347" t="str">
            <v>HORSE</v>
          </cell>
          <cell r="F347" t="str">
            <v>PONY</v>
          </cell>
          <cell r="G347" t="str">
            <v>RUGS</v>
          </cell>
          <cell r="H347" t="str">
            <v>PONY</v>
          </cell>
          <cell r="I347" t="str">
            <v>FLEECE BLANKETS</v>
          </cell>
          <cell r="J347" t="str">
            <v>FLEECE BLANKETS</v>
          </cell>
          <cell r="K347" t="str">
            <v>PONY - FLEECE BLANKET WITH COLLAR</v>
          </cell>
          <cell r="L347" t="str">
            <v>The cooler with an aristocratic collar to give your pony a more prestigious look!
High density and high quality cooler fleece blanket will keep your horse extra warm while allowing cool down.
These soft and beautiful fleece blankets come in a wide variety of profound and nice colors.</v>
          </cell>
          <cell r="M347" t="str">
            <v xml:space="preserve">*High density fleece fabric
*Super soft hand feel
*Keeps warmer with respect to traditional standard density fleece blankets
Composition:
100% Polyester
</v>
          </cell>
          <cell r="N347" t="str">
            <v>Machine Wash at 30°C
Mild process
Do not bleach
Do NOT Tumble Dry</v>
          </cell>
          <cell r="O347" t="str">
            <v>YAKALI PONY POLAR BLANKET</v>
          </cell>
        </row>
        <row r="348">
          <cell r="B348" t="str">
            <v>WISCONSIN</v>
          </cell>
          <cell r="C348"/>
          <cell r="D348" t="str">
            <v/>
          </cell>
          <cell r="E348"/>
          <cell r="F348"/>
          <cell r="G348"/>
          <cell r="H348"/>
          <cell r="I348"/>
          <cell r="J348">
            <v>0</v>
          </cell>
          <cell r="K348" t="str">
            <v/>
          </cell>
          <cell r="L348"/>
          <cell r="M348"/>
          <cell r="N348"/>
          <cell r="O348"/>
        </row>
        <row r="349">
          <cell r="B349" t="str">
            <v>WYOMING</v>
          </cell>
          <cell r="C349"/>
          <cell r="D349" t="str">
            <v/>
          </cell>
          <cell r="E349"/>
          <cell r="F349"/>
          <cell r="G349"/>
          <cell r="H349"/>
          <cell r="I349"/>
          <cell r="J349">
            <v>0</v>
          </cell>
          <cell r="K349" t="str">
            <v/>
          </cell>
          <cell r="L349"/>
          <cell r="M349"/>
          <cell r="N349"/>
          <cell r="O349"/>
        </row>
        <row r="350">
          <cell r="B350" t="str">
            <v>YORK</v>
          </cell>
          <cell r="C350" t="str">
            <v>TWO COLOR FLEECE BLANKET</v>
          </cell>
          <cell r="D350" t="str">
            <v>H.RUGFL_FLC</v>
          </cell>
          <cell r="E350" t="str">
            <v>HORSE</v>
          </cell>
          <cell r="F350" t="str">
            <v>HORSE</v>
          </cell>
          <cell r="G350" t="str">
            <v>RUGS</v>
          </cell>
          <cell r="H350" t="str">
            <v>FULL</v>
          </cell>
          <cell r="I350" t="str">
            <v>FLEECE BLANKETS</v>
          </cell>
          <cell r="J350" t="str">
            <v>FLEECE BLANKETS</v>
          </cell>
          <cell r="K350" t="str">
            <v>TWO COLOR FLEECE BLANKET</v>
          </cell>
          <cell r="L350" t="str">
            <v>Two-color stylish cooloer blanket
High density and high quality cooler fleece blanket will keep your horse extra warm while allowing cool down.
These soft and beautiful fleece blankets come in a wide variety of profound and nice colors.</v>
          </cell>
          <cell r="M350" t="str">
            <v xml:space="preserve">*High density fleece fabric
*Super soft hand feel
*Keeps warmer with respect to traditional standard density fleece blankets
Composition:
100% Polyester
</v>
          </cell>
          <cell r="N350" t="str">
            <v>Machine Wash at 30°C
Mild process
Do not bleach
Do NOT Tumble Dry</v>
          </cell>
          <cell r="O350" t="str">
            <v>ÇİFT RENK POLAR BLANKET</v>
          </cell>
        </row>
        <row r="351">
          <cell r="B351" t="str">
            <v>YORK-P</v>
          </cell>
          <cell r="C351" t="str">
            <v>TWO COLOR FLEECE BLANKET</v>
          </cell>
          <cell r="D351" t="str">
            <v>H.RUGPN_FLC</v>
          </cell>
          <cell r="E351" t="str">
            <v>HORSE</v>
          </cell>
          <cell r="F351" t="str">
            <v>PONY</v>
          </cell>
          <cell r="G351" t="str">
            <v>RUGS</v>
          </cell>
          <cell r="H351" t="str">
            <v>PONY</v>
          </cell>
          <cell r="I351" t="str">
            <v>FLEECE BLANKETS</v>
          </cell>
          <cell r="J351" t="str">
            <v>FLEECE BLANKETS</v>
          </cell>
          <cell r="K351" t="str">
            <v>PONY - TWO COLOR FLEECE BLANKET</v>
          </cell>
          <cell r="L351" t="str">
            <v>Two-color stylish Pony cooloer blanket
High density and high quality cooler fleece blanket will keep your horse extra warm while allowing cool down.
These soft and beautiful fleece blankets come in a wide variety of profound and nice colors.</v>
          </cell>
          <cell r="M351" t="str">
            <v xml:space="preserve">*High density fleece fabric
*Super soft hand feel
*Keeps warmer with respect to traditional standard density fleece blankets
Composition:
100% Polyester
</v>
          </cell>
          <cell r="N351" t="str">
            <v>Machine Wash at 30°C
Mild process
Do not bleach
Do NOT Tumble Dry</v>
          </cell>
          <cell r="O351" t="str">
            <v>ÇİFT RENK PONY POLAR BLANKET</v>
          </cell>
        </row>
        <row r="352">
          <cell r="B352" t="str">
            <v>ZANNONE</v>
          </cell>
          <cell r="C352" t="str">
            <v>MEN'S COMPETITION POLO SHORT SLEEVE</v>
          </cell>
          <cell r="D352" t="str">
            <v>R.TOPMN_CPL</v>
          </cell>
          <cell r="E352" t="str">
            <v>RIDER</v>
          </cell>
          <cell r="F352" t="str">
            <v>MEN</v>
          </cell>
          <cell r="G352" t="str">
            <v>TOPS</v>
          </cell>
          <cell r="H352" t="str">
            <v>MEN</v>
          </cell>
          <cell r="I352" t="str">
            <v>COMPETITION POLOS</v>
          </cell>
          <cell r="J352" t="str">
            <v>COMPETITION POLO SHORT SLEEVE</v>
          </cell>
          <cell r="K352" t="str">
            <v>MEN'S COMPETITION POLO SHORT SLEEVE</v>
          </cell>
          <cell r="L352" t="str">
            <v>Our most popular and demanded competition polos are made with high quality technical fabric to match up to your high performance needs during shows.
The special polyamide piquet jersey fabric will move with your body in such a harmony that you will hardly feel its existence.
The eye-catching fit and design is coming by default.</v>
          </cell>
          <cell r="M352" t="str">
            <v>* Specially engineered design for high performance
* 4-way super stretch piquet jersey
* Soft and comfortable
* Breathable
* Quick dry
Composition:
95% Poliamide 5% Elasthane</v>
          </cell>
          <cell r="N352" t="str">
            <v>Machine Wash at 30°C
Mild process
Iron at low temperature
Iron from REVERSE
Do NOT iron on logos or prints
Do not bleach
Do NOT Tumble Dry</v>
          </cell>
          <cell r="O352" t="str">
            <v>ERKEK KISA KOL YARIŞMA POLO</v>
          </cell>
        </row>
        <row r="353">
          <cell r="B353" t="str">
            <v>ZARAGOZA</v>
          </cell>
          <cell r="C353"/>
          <cell r="D353" t="str">
            <v/>
          </cell>
          <cell r="E353"/>
          <cell r="F353"/>
          <cell r="G353"/>
          <cell r="H353"/>
          <cell r="I353"/>
          <cell r="J353">
            <v>0</v>
          </cell>
          <cell r="K353" t="str">
            <v/>
          </cell>
          <cell r="L353"/>
          <cell r="M353"/>
          <cell r="N353"/>
          <cell r="O353"/>
        </row>
        <row r="354">
          <cell r="B354" t="str">
            <v>ZERMATT</v>
          </cell>
          <cell r="C354"/>
          <cell r="D354" t="str">
            <v/>
          </cell>
          <cell r="E354"/>
          <cell r="F354"/>
          <cell r="G354"/>
          <cell r="H354"/>
          <cell r="I354"/>
          <cell r="J354">
            <v>0</v>
          </cell>
          <cell r="K354" t="str">
            <v/>
          </cell>
          <cell r="L354"/>
          <cell r="M354"/>
          <cell r="N354"/>
          <cell r="O354"/>
        </row>
        <row r="355">
          <cell r="B355" t="str">
            <v>ZURICH</v>
          </cell>
          <cell r="C355"/>
          <cell r="D355" t="str">
            <v/>
          </cell>
          <cell r="E355"/>
          <cell r="F355"/>
          <cell r="G355"/>
          <cell r="H355"/>
          <cell r="I355"/>
          <cell r="J355">
            <v>0</v>
          </cell>
          <cell r="K355" t="str">
            <v/>
          </cell>
          <cell r="L355"/>
          <cell r="M355"/>
          <cell r="N355"/>
          <cell r="O355"/>
        </row>
        <row r="356">
          <cell r="B356"/>
          <cell r="C356"/>
          <cell r="D356"/>
          <cell r="E356"/>
          <cell r="F356"/>
          <cell r="G356"/>
          <cell r="H356"/>
          <cell r="I356"/>
          <cell r="J356"/>
          <cell r="K356" t="str">
            <v/>
          </cell>
          <cell r="L356"/>
          <cell r="M356"/>
          <cell r="N356"/>
          <cell r="O356"/>
        </row>
        <row r="357">
          <cell r="B357"/>
          <cell r="C357"/>
          <cell r="D357"/>
          <cell r="E357"/>
          <cell r="F357"/>
          <cell r="G357"/>
          <cell r="H357"/>
          <cell r="I357"/>
          <cell r="J357"/>
          <cell r="K357" t="str">
            <v/>
          </cell>
          <cell r="L357"/>
          <cell r="M357"/>
          <cell r="N357"/>
          <cell r="O357"/>
        </row>
        <row r="358">
          <cell r="B358"/>
          <cell r="C358"/>
          <cell r="D358"/>
          <cell r="E358"/>
          <cell r="F358"/>
          <cell r="G358"/>
          <cell r="H358"/>
          <cell r="I358"/>
          <cell r="J358"/>
          <cell r="K358" t="str">
            <v/>
          </cell>
          <cell r="L358"/>
          <cell r="M358"/>
          <cell r="N358"/>
          <cell r="O358"/>
        </row>
        <row r="359">
          <cell r="B359"/>
          <cell r="C359"/>
          <cell r="D359"/>
          <cell r="E359"/>
          <cell r="F359"/>
          <cell r="G359"/>
          <cell r="H359"/>
          <cell r="I359"/>
          <cell r="J359"/>
          <cell r="K359" t="str">
            <v/>
          </cell>
          <cell r="L359"/>
          <cell r="M359"/>
          <cell r="N359"/>
          <cell r="O359"/>
        </row>
        <row r="360">
          <cell r="B360"/>
          <cell r="C360"/>
          <cell r="D360"/>
          <cell r="E360"/>
          <cell r="F360"/>
          <cell r="G360"/>
          <cell r="H360"/>
          <cell r="I360"/>
          <cell r="J360"/>
          <cell r="K360" t="str">
            <v/>
          </cell>
          <cell r="L360"/>
          <cell r="M360"/>
          <cell r="N360"/>
          <cell r="O360"/>
        </row>
        <row r="361">
          <cell r="B361"/>
          <cell r="C361"/>
          <cell r="D361"/>
          <cell r="E361"/>
          <cell r="F361"/>
          <cell r="G361"/>
          <cell r="H361"/>
          <cell r="I361"/>
          <cell r="J361"/>
          <cell r="K361" t="str">
            <v/>
          </cell>
          <cell r="L361"/>
          <cell r="M361"/>
          <cell r="N361"/>
          <cell r="O361"/>
        </row>
        <row r="362">
          <cell r="B362"/>
          <cell r="C362"/>
          <cell r="D362"/>
          <cell r="E362"/>
          <cell r="F362"/>
          <cell r="G362"/>
          <cell r="H362"/>
          <cell r="I362"/>
          <cell r="J362"/>
          <cell r="K362" t="str">
            <v/>
          </cell>
          <cell r="L362"/>
          <cell r="M362"/>
          <cell r="N362"/>
          <cell r="O362"/>
        </row>
        <row r="363">
          <cell r="B363"/>
          <cell r="C363"/>
          <cell r="D363"/>
          <cell r="E363"/>
          <cell r="F363"/>
          <cell r="G363"/>
          <cell r="H363"/>
          <cell r="I363"/>
          <cell r="J363"/>
          <cell r="K363" t="str">
            <v/>
          </cell>
          <cell r="L363"/>
          <cell r="M363"/>
          <cell r="N363"/>
          <cell r="O363"/>
        </row>
        <row r="364">
          <cell r="B364"/>
          <cell r="C364"/>
          <cell r="D364"/>
          <cell r="E364"/>
          <cell r="F364"/>
          <cell r="G364"/>
          <cell r="H364"/>
          <cell r="I364"/>
          <cell r="J364"/>
          <cell r="K364" t="str">
            <v/>
          </cell>
          <cell r="L364"/>
          <cell r="M364"/>
          <cell r="N364"/>
          <cell r="O364"/>
        </row>
        <row r="365">
          <cell r="B365"/>
          <cell r="C365"/>
          <cell r="D365"/>
          <cell r="E365"/>
          <cell r="F365"/>
          <cell r="G365"/>
          <cell r="H365"/>
          <cell r="I365"/>
          <cell r="J365"/>
          <cell r="K365" t="str">
            <v/>
          </cell>
          <cell r="L365"/>
          <cell r="M365"/>
          <cell r="N365"/>
          <cell r="O365"/>
        </row>
        <row r="366">
          <cell r="B366"/>
          <cell r="C366"/>
          <cell r="D366"/>
          <cell r="E366"/>
          <cell r="F366"/>
          <cell r="G366"/>
          <cell r="H366"/>
          <cell r="I366"/>
          <cell r="J366"/>
          <cell r="K366" t="str">
            <v/>
          </cell>
          <cell r="L366"/>
          <cell r="M366"/>
          <cell r="N366"/>
          <cell r="O366"/>
        </row>
        <row r="367">
          <cell r="B367"/>
          <cell r="C367"/>
          <cell r="D367"/>
          <cell r="E367"/>
          <cell r="F367"/>
          <cell r="G367"/>
          <cell r="H367"/>
          <cell r="I367"/>
          <cell r="J367"/>
          <cell r="K367" t="str">
            <v/>
          </cell>
          <cell r="L367"/>
          <cell r="M367"/>
          <cell r="N367"/>
          <cell r="O367"/>
        </row>
        <row r="368">
          <cell r="B368"/>
          <cell r="C368"/>
          <cell r="D368"/>
          <cell r="E368"/>
          <cell r="F368"/>
          <cell r="G368"/>
          <cell r="H368"/>
          <cell r="I368"/>
          <cell r="J368"/>
          <cell r="K368" t="str">
            <v/>
          </cell>
          <cell r="L368"/>
          <cell r="M368"/>
          <cell r="N368"/>
          <cell r="O368"/>
        </row>
        <row r="369">
          <cell r="B369"/>
          <cell r="C369"/>
          <cell r="D369"/>
          <cell r="E369"/>
          <cell r="F369"/>
          <cell r="G369"/>
          <cell r="H369"/>
          <cell r="I369"/>
          <cell r="J369"/>
          <cell r="K369" t="str">
            <v/>
          </cell>
          <cell r="L369"/>
          <cell r="M369"/>
          <cell r="N369"/>
          <cell r="O369"/>
        </row>
        <row r="370">
          <cell r="B370"/>
          <cell r="C370"/>
          <cell r="D370"/>
          <cell r="E370"/>
          <cell r="F370"/>
          <cell r="G370"/>
          <cell r="H370"/>
          <cell r="I370"/>
          <cell r="J370"/>
          <cell r="K370" t="str">
            <v/>
          </cell>
          <cell r="L370"/>
          <cell r="M370"/>
          <cell r="N370"/>
          <cell r="O370"/>
        </row>
        <row r="371">
          <cell r="B371"/>
          <cell r="C371"/>
          <cell r="D371"/>
          <cell r="E371"/>
          <cell r="F371"/>
          <cell r="G371"/>
          <cell r="H371"/>
          <cell r="I371"/>
          <cell r="J371"/>
          <cell r="K371" t="str">
            <v/>
          </cell>
          <cell r="L371"/>
          <cell r="M371"/>
          <cell r="N371"/>
          <cell r="O371"/>
        </row>
        <row r="372">
          <cell r="B372"/>
          <cell r="C372"/>
          <cell r="D372"/>
          <cell r="E372"/>
          <cell r="F372"/>
          <cell r="G372"/>
          <cell r="H372"/>
          <cell r="I372"/>
          <cell r="J372"/>
          <cell r="K372" t="str">
            <v/>
          </cell>
          <cell r="L372"/>
          <cell r="M372"/>
          <cell r="N372"/>
          <cell r="O372"/>
        </row>
        <row r="373">
          <cell r="B373" t="str">
            <v>zzz</v>
          </cell>
          <cell r="C373" t="str">
            <v>zzz</v>
          </cell>
          <cell r="D373" t="str">
            <v>zzz</v>
          </cell>
          <cell r="E373" t="str">
            <v>zzz</v>
          </cell>
          <cell r="F373" t="str">
            <v>zzz</v>
          </cell>
          <cell r="G373" t="str">
            <v>zzz</v>
          </cell>
          <cell r="H373" t="str">
            <v>zzz</v>
          </cell>
          <cell r="I373" t="str">
            <v>zzz</v>
          </cell>
          <cell r="J373" t="str">
            <v>zzz</v>
          </cell>
          <cell r="K373" t="str">
            <v>zzz</v>
          </cell>
          <cell r="L373" t="str">
            <v>zzz</v>
          </cell>
          <cell r="M373" t="str">
            <v>zzz</v>
          </cell>
          <cell r="N373" t="str">
            <v>zzz</v>
          </cell>
          <cell r="O373" t="str">
            <v>zzz</v>
          </cell>
        </row>
        <row r="374">
          <cell r="B374" t="str">
            <v>BELSIANA</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0"/>
  <sheetViews>
    <sheetView tabSelected="1" zoomScaleNormal="100" workbookViewId="0">
      <pane ySplit="2" topLeftCell="A3" activePane="bottomLeft" state="frozen"/>
      <selection pane="bottomLeft" activeCell="E23" sqref="E23"/>
    </sheetView>
  </sheetViews>
  <sheetFormatPr defaultColWidth="9.140625" defaultRowHeight="15" x14ac:dyDescent="0.2"/>
  <cols>
    <col min="1" max="1" width="18.28515625" style="14" bestFit="1" customWidth="1"/>
    <col min="2" max="2" width="14" style="14" customWidth="1"/>
    <col min="3" max="3" width="46" style="61" bestFit="1" customWidth="1"/>
    <col min="4" max="4" width="14.7109375" style="18" customWidth="1"/>
    <col min="5" max="5" width="13.28515625" style="19" customWidth="1"/>
    <col min="6" max="6" width="9.28515625" style="20" customWidth="1"/>
    <col min="7" max="7" width="50.5703125" style="61" bestFit="1" customWidth="1"/>
    <col min="8" max="16384" width="9.140625" style="14"/>
  </cols>
  <sheetData>
    <row r="1" spans="1:7" s="13" customFormat="1" x14ac:dyDescent="0.2">
      <c r="A1" s="65" t="s">
        <v>70</v>
      </c>
      <c r="B1" s="66" t="s">
        <v>156</v>
      </c>
      <c r="C1" s="67" t="s">
        <v>122</v>
      </c>
      <c r="D1" s="66" t="s">
        <v>89</v>
      </c>
      <c r="E1" s="66">
        <v>55</v>
      </c>
      <c r="F1" s="68">
        <v>1.1499999999999999</v>
      </c>
      <c r="G1" s="69"/>
    </row>
    <row r="2" spans="1:7" s="62" customFormat="1" ht="12.75" x14ac:dyDescent="0.2">
      <c r="A2" s="70" t="s">
        <v>14</v>
      </c>
      <c r="B2" s="58" t="s">
        <v>71</v>
      </c>
      <c r="C2" s="58" t="s">
        <v>59</v>
      </c>
      <c r="D2" s="58" t="s">
        <v>72</v>
      </c>
      <c r="E2" s="59" t="s">
        <v>73</v>
      </c>
      <c r="F2" s="60" t="s">
        <v>90</v>
      </c>
      <c r="G2" s="71" t="s">
        <v>116</v>
      </c>
    </row>
    <row r="3" spans="1:7" x14ac:dyDescent="0.2">
      <c r="A3" s="55" t="s">
        <v>27</v>
      </c>
      <c r="B3" s="12" t="str">
        <f>+VLOOKUP($A3,'[1]STYLE NAMES'!$B:$O,4,FALSE)</f>
        <v>ACCESSORIES</v>
      </c>
      <c r="C3" s="12" t="str">
        <f>+VLOOKUP($A3,'[1]STYLE NAMES'!$B:$O,14,FALSE)</f>
        <v>ANAHTARLIK</v>
      </c>
      <c r="D3" s="56">
        <v>12.9</v>
      </c>
      <c r="E3" s="17">
        <f t="shared" ref="E3:E34" si="0">ROUNDDOWN(+D3*EURKUR,-1)</f>
        <v>700</v>
      </c>
      <c r="F3" s="54">
        <f t="shared" ref="F3:F34" si="1">+D3*$F$1</f>
        <v>14.834999999999999</v>
      </c>
      <c r="G3" s="84" t="str">
        <f>+VLOOKUP($A3,'[1]STYLE NAMES'!$B:$O,2,FALSE)</f>
        <v>KEY RING</v>
      </c>
    </row>
    <row r="4" spans="1:7" x14ac:dyDescent="0.2">
      <c r="A4" s="55" t="s">
        <v>16</v>
      </c>
      <c r="B4" s="12" t="str">
        <f>+VLOOKUP($A4,'[1]STYLE NAMES'!$B:$O,4,FALSE)</f>
        <v>ACCESSORIES</v>
      </c>
      <c r="C4" s="12" t="str">
        <f>+VLOOKUP($A4,'[1]STYLE NAMES'!$B:$O,14,FALSE)</f>
        <v>İSİM KÜNYESİ</v>
      </c>
      <c r="D4" s="56">
        <v>12.9</v>
      </c>
      <c r="E4" s="17">
        <f t="shared" si="0"/>
        <v>700</v>
      </c>
      <c r="F4" s="54">
        <f t="shared" si="1"/>
        <v>14.834999999999999</v>
      </c>
      <c r="G4" s="84" t="str">
        <f>+VLOOKUP($A4,'[1]STYLE NAMES'!$B:$O,2,FALSE)</f>
        <v>NAME TAG</v>
      </c>
    </row>
    <row r="5" spans="1:7" x14ac:dyDescent="0.2">
      <c r="A5" s="55" t="s">
        <v>146</v>
      </c>
      <c r="B5" s="12" t="str">
        <f>+VLOOKUP($A5,'[1]STYLE NAMES'!$B:$O,4,FALSE)</f>
        <v>ACCESSORIES</v>
      </c>
      <c r="C5" s="12" t="str">
        <f>+VLOOKUP($A5,'[1]STYLE NAMES'!$B:$O,14,FALSE)</f>
        <v>BANDANA</v>
      </c>
      <c r="D5" s="56">
        <v>12.9</v>
      </c>
      <c r="E5" s="17">
        <f t="shared" si="0"/>
        <v>700</v>
      </c>
      <c r="F5" s="54">
        <f t="shared" si="1"/>
        <v>14.834999999999999</v>
      </c>
      <c r="G5" s="84" t="str">
        <f>+VLOOKUP($A5,'[1]STYLE NAMES'!$B:$O,2,FALSE)</f>
        <v>HEADBAND</v>
      </c>
    </row>
    <row r="6" spans="1:7" x14ac:dyDescent="0.2">
      <c r="A6" s="55" t="s">
        <v>20</v>
      </c>
      <c r="B6" s="12" t="str">
        <f>+VLOOKUP($A6,'[1]STYLE NAMES'!$B:$O,4,FALSE)</f>
        <v>ACCESSORIES</v>
      </c>
      <c r="C6" s="12" t="str">
        <f>+VLOOKUP($A6,'[1]STYLE NAMES'!$B:$O,14,FALSE)</f>
        <v>KEP ŞAPKA</v>
      </c>
      <c r="D6" s="56">
        <v>29.9</v>
      </c>
      <c r="E6" s="17">
        <f t="shared" si="0"/>
        <v>1640</v>
      </c>
      <c r="F6" s="54">
        <f t="shared" si="1"/>
        <v>34.384999999999998</v>
      </c>
      <c r="G6" s="84" t="str">
        <f>+VLOOKUP($A6,'[1]STYLE NAMES'!$B:$O,2,FALSE)</f>
        <v>BASEBALL CAP</v>
      </c>
    </row>
    <row r="7" spans="1:7" x14ac:dyDescent="0.2">
      <c r="A7" s="55" t="s">
        <v>18</v>
      </c>
      <c r="B7" s="12" t="str">
        <f>+VLOOKUP($A7,'[1]STYLE NAMES'!$B:$O,4,FALSE)</f>
        <v>ACCESSORIES</v>
      </c>
      <c r="C7" s="12" t="str">
        <f>+VLOOKUP($A7,'[1]STYLE NAMES'!$B:$O,14,FALSE)</f>
        <v>BERE ŞAPKA</v>
      </c>
      <c r="D7" s="56">
        <v>29.9</v>
      </c>
      <c r="E7" s="17">
        <f t="shared" si="0"/>
        <v>1640</v>
      </c>
      <c r="F7" s="54">
        <f t="shared" si="1"/>
        <v>34.384999999999998</v>
      </c>
      <c r="G7" s="84" t="str">
        <f>+VLOOKUP($A7,'[1]STYLE NAMES'!$B:$O,2,FALSE)</f>
        <v>BEANIE</v>
      </c>
    </row>
    <row r="8" spans="1:7" x14ac:dyDescent="0.2">
      <c r="A8" s="55" t="s">
        <v>21</v>
      </c>
      <c r="B8" s="12" t="str">
        <f>+VLOOKUP($A8,'[1]STYLE NAMES'!$B:$O,4,FALSE)</f>
        <v>ACCESSORIES</v>
      </c>
      <c r="C8" s="12" t="str">
        <f>+VLOOKUP($A8,'[1]STYLE NAMES'!$B:$O,14,FALSE)</f>
        <v>YAZLIK BİNİCİ ÇORABI
3'LÜ PAKET</v>
      </c>
      <c r="D8" s="56">
        <v>34.9</v>
      </c>
      <c r="E8" s="17">
        <f t="shared" si="0"/>
        <v>1910</v>
      </c>
      <c r="F8" s="54">
        <f t="shared" si="1"/>
        <v>40.134999999999998</v>
      </c>
      <c r="G8" s="84" t="str">
        <f>+VLOOKUP($A8,'[1]STYLE NAMES'!$B:$O,2,FALSE)</f>
        <v>SUMMER RIDING SOCKS 
3 PACK BUNDLE</v>
      </c>
    </row>
    <row r="9" spans="1:7" x14ac:dyDescent="0.2">
      <c r="A9" s="55" t="s">
        <v>22</v>
      </c>
      <c r="B9" s="12" t="str">
        <f>+VLOOKUP($A9,'[1]STYLE NAMES'!$B:$O,4,FALSE)</f>
        <v>ACCESSORIES</v>
      </c>
      <c r="C9" s="12" t="str">
        <f>+VLOOKUP($A9,'[1]STYLE NAMES'!$B:$O,14,FALSE)</f>
        <v>GEO 4 MEVSİM BİNİCİ ÇORABI
3'LÜ PAKET</v>
      </c>
      <c r="D9" s="56">
        <v>34.9</v>
      </c>
      <c r="E9" s="17">
        <f t="shared" si="0"/>
        <v>1910</v>
      </c>
      <c r="F9" s="54">
        <f t="shared" si="1"/>
        <v>40.134999999999998</v>
      </c>
      <c r="G9" s="84" t="str">
        <f>+VLOOKUP($A9,'[1]STYLE NAMES'!$B:$O,2,FALSE)</f>
        <v>GEO ALL-SEASON RIDING SOCKS 
3 PACK BUNDLE</v>
      </c>
    </row>
    <row r="10" spans="1:7" x14ac:dyDescent="0.2">
      <c r="A10" s="55" t="s">
        <v>25</v>
      </c>
      <c r="B10" s="12" t="str">
        <f>+VLOOKUP($A10,'[1]STYLE NAMES'!$B:$O,4,FALSE)</f>
        <v>ACCESSORIES</v>
      </c>
      <c r="C10" s="12" t="str">
        <f>+VLOOKUP($A10,'[1]STYLE NAMES'!$B:$O,14,FALSE)</f>
        <v>ÇOCUK BİNİCİ ÇORABI
3'LÜ PAKET</v>
      </c>
      <c r="D10" s="56">
        <v>34.9</v>
      </c>
      <c r="E10" s="17">
        <f t="shared" si="0"/>
        <v>1910</v>
      </c>
      <c r="F10" s="54">
        <f t="shared" si="1"/>
        <v>40.134999999999998</v>
      </c>
      <c r="G10" s="84" t="str">
        <f>+VLOOKUP($A10,'[1]STYLE NAMES'!$B:$O,2,FALSE)</f>
        <v>KID'S RIDING SOCKS 
3 PACK BUNDLE</v>
      </c>
    </row>
    <row r="11" spans="1:7" x14ac:dyDescent="0.2">
      <c r="A11" s="55" t="s">
        <v>26</v>
      </c>
      <c r="B11" s="12" t="str">
        <f>+VLOOKUP($A11,'[1]STYLE NAMES'!$B:$O,4,FALSE)</f>
        <v>ACCESSORIES</v>
      </c>
      <c r="C11" s="12" t="str">
        <f>+VLOOKUP($A11,'[1]STYLE NAMES'!$B:$O,14,FALSE)</f>
        <v>YARIŞMA KRAVATI</v>
      </c>
      <c r="D11" s="56">
        <v>39.9</v>
      </c>
      <c r="E11" s="17">
        <f t="shared" si="0"/>
        <v>2190</v>
      </c>
      <c r="F11" s="54">
        <f t="shared" si="1"/>
        <v>45.884999999999998</v>
      </c>
      <c r="G11" s="84" t="str">
        <f>+VLOOKUP($A11,'[1]STYLE NAMES'!$B:$O,2,FALSE)</f>
        <v>COMPETITION TIE</v>
      </c>
    </row>
    <row r="12" spans="1:7" x14ac:dyDescent="0.2">
      <c r="A12" s="55" t="s">
        <v>147</v>
      </c>
      <c r="B12" s="12" t="str">
        <f>+VLOOKUP($A12,'[1]STYLE NAMES'!$B:$O,4,FALSE)</f>
        <v>ACCESSORIES</v>
      </c>
      <c r="C12" s="12" t="str">
        <f>+VLOOKUP($A12,'[1]STYLE NAMES'!$B:$O,14,FALSE)</f>
        <v>4 MEVSİM BİNİCİ ÇORABI
3'LÜ PAKET</v>
      </c>
      <c r="D12" s="56">
        <v>39.9</v>
      </c>
      <c r="E12" s="17">
        <f t="shared" si="0"/>
        <v>2190</v>
      </c>
      <c r="F12" s="54">
        <f t="shared" si="1"/>
        <v>45.884999999999998</v>
      </c>
      <c r="G12" s="84" t="str">
        <f>+VLOOKUP($A12,'[1]STYLE NAMES'!$B:$O,2,FALSE)</f>
        <v>4 SEASON RIDING SOCKS 
3 PACK BUNDLE</v>
      </c>
    </row>
    <row r="13" spans="1:7" x14ac:dyDescent="0.2">
      <c r="A13" s="55" t="s">
        <v>75</v>
      </c>
      <c r="B13" s="12" t="str">
        <f>+VLOOKUP($A13,'[1]STYLE NAMES'!$B:$O,4,FALSE)</f>
        <v>ACCESSORIES</v>
      </c>
      <c r="C13" s="12" t="str">
        <f>+VLOOKUP($A13,'[1]STYLE NAMES'!$B:$O,14,FALSE)</f>
        <v>ÖRME YARIŞMA KRAVATI</v>
      </c>
      <c r="D13" s="56">
        <v>39.9</v>
      </c>
      <c r="E13" s="17">
        <f t="shared" si="0"/>
        <v>2190</v>
      </c>
      <c r="F13" s="54">
        <f t="shared" si="1"/>
        <v>45.884999999999998</v>
      </c>
      <c r="G13" s="84" t="str">
        <f>+VLOOKUP($A13,'[1]STYLE NAMES'!$B:$O,2,FALSE)</f>
        <v>KNIT COMPETITION TIE</v>
      </c>
    </row>
    <row r="14" spans="1:7" x14ac:dyDescent="0.2">
      <c r="A14" s="55" t="s">
        <v>23</v>
      </c>
      <c r="B14" s="12" t="str">
        <f>+VLOOKUP($A14,'[1]STYLE NAMES'!$B:$O,4,FALSE)</f>
        <v>ACCESSORIES</v>
      </c>
      <c r="C14" s="12" t="str">
        <f>+VLOOKUP($A14,'[1]STYLE NAMES'!$B:$O,14,FALSE)</f>
        <v>4 MEVSİM BİNİCİ ÇORABI
3'LÜ PAKET</v>
      </c>
      <c r="D14" s="56">
        <v>39.9</v>
      </c>
      <c r="E14" s="17">
        <f t="shared" si="0"/>
        <v>2190</v>
      </c>
      <c r="F14" s="54">
        <f t="shared" si="1"/>
        <v>45.884999999999998</v>
      </c>
      <c r="G14" s="84" t="str">
        <f>+VLOOKUP($A14,'[1]STYLE NAMES'!$B:$O,2,FALSE)</f>
        <v>4 SEASON RIDING SOCKS 
3 PACK BUNDLE</v>
      </c>
    </row>
    <row r="15" spans="1:7" x14ac:dyDescent="0.2">
      <c r="A15" s="55" t="s">
        <v>24</v>
      </c>
      <c r="B15" s="12" t="str">
        <f>+VLOOKUP($A15,'[1]STYLE NAMES'!$B:$O,4,FALSE)</f>
        <v>ACCESSORIES</v>
      </c>
      <c r="C15" s="12" t="str">
        <f>+VLOOKUP($A15,'[1]STYLE NAMES'!$B:$O,14,FALSE)</f>
        <v>KIŞLIK BİNİCİ ÇORABI
2'Lİ PAKET</v>
      </c>
      <c r="D15" s="56">
        <v>39.9</v>
      </c>
      <c r="E15" s="17">
        <f t="shared" si="0"/>
        <v>2190</v>
      </c>
      <c r="F15" s="54">
        <f t="shared" si="1"/>
        <v>45.884999999999998</v>
      </c>
      <c r="G15" s="84" t="str">
        <f>+VLOOKUP($A15,'[1]STYLE NAMES'!$B:$O,2,FALSE)</f>
        <v>WINTER RIDING SOCKS 
2 PACK BUNDLE</v>
      </c>
    </row>
    <row r="16" spans="1:7" x14ac:dyDescent="0.2">
      <c r="A16" s="55" t="s">
        <v>15</v>
      </c>
      <c r="B16" s="12" t="str">
        <f>+VLOOKUP($A16,'[1]STYLE NAMES'!$B:$O,4,FALSE)</f>
        <v>HORSE</v>
      </c>
      <c r="C16" s="12" t="str">
        <f>+VLOOKUP($A16,'[1]STYLE NAMES'!$B:$O,14,FALSE)</f>
        <v>ÖRME KULAKLIK</v>
      </c>
      <c r="D16" s="56">
        <v>39.9</v>
      </c>
      <c r="E16" s="17">
        <f t="shared" si="0"/>
        <v>2190</v>
      </c>
      <c r="F16" s="54">
        <f t="shared" si="1"/>
        <v>45.884999999999998</v>
      </c>
      <c r="G16" s="84" t="str">
        <f>+VLOOKUP($A16,'[1]STYLE NAMES'!$B:$O,2,FALSE)</f>
        <v>KNIT EAR BONNET</v>
      </c>
    </row>
    <row r="17" spans="1:7" x14ac:dyDescent="0.2">
      <c r="A17" s="55" t="s">
        <v>17</v>
      </c>
      <c r="B17" s="12" t="str">
        <f>+VLOOKUP($A17,'[1]STYLE NAMES'!$B:$O,4,FALSE)</f>
        <v>HORSE</v>
      </c>
      <c r="C17" s="12" t="str">
        <f>+VLOOKUP($A17,'[1]STYLE NAMES'!$B:$O,14,FALSE)</f>
        <v>ÖRME PONY KULAKLIK</v>
      </c>
      <c r="D17" s="56">
        <v>39.9</v>
      </c>
      <c r="E17" s="17">
        <f t="shared" si="0"/>
        <v>2190</v>
      </c>
      <c r="F17" s="54">
        <f t="shared" si="1"/>
        <v>45.884999999999998</v>
      </c>
      <c r="G17" s="84" t="str">
        <f>+VLOOKUP($A17,'[1]STYLE NAMES'!$B:$O,2,FALSE)</f>
        <v>KNIT EAR BONNET</v>
      </c>
    </row>
    <row r="18" spans="1:7" x14ac:dyDescent="0.2">
      <c r="A18" s="55" t="s">
        <v>29</v>
      </c>
      <c r="B18" s="12" t="str">
        <f>+VLOOKUP($A18,'[1]STYLE NAMES'!$B:$O,4,FALSE)</f>
        <v>ACCESSORIES</v>
      </c>
      <c r="C18" s="12" t="str">
        <f>+VLOOKUP($A18,'[1]STYLE NAMES'!$B:$O,14,FALSE)</f>
        <v>BOX PERDESİ</v>
      </c>
      <c r="D18" s="56">
        <v>49.9</v>
      </c>
      <c r="E18" s="17">
        <f t="shared" si="0"/>
        <v>2740</v>
      </c>
      <c r="F18" s="54">
        <f t="shared" si="1"/>
        <v>57.384999999999991</v>
      </c>
      <c r="G18" s="84" t="str">
        <f>+VLOOKUP($A18,'[1]STYLE NAMES'!$B:$O,2,FALSE)</f>
        <v>BOX GUARD</v>
      </c>
    </row>
    <row r="19" spans="1:7" x14ac:dyDescent="0.2">
      <c r="A19" s="55" t="s">
        <v>106</v>
      </c>
      <c r="B19" s="12" t="str">
        <f>+VLOOKUP($A19,'[1]STYLE NAMES'!$B:$O,4,FALSE)</f>
        <v>ACCESSORIES</v>
      </c>
      <c r="C19" s="12" t="str">
        <f>+VLOOKUP($A19,'[1]STYLE NAMES'!$B:$O,14,FALSE)</f>
        <v>ÖRGÜ KEMER</v>
      </c>
      <c r="D19" s="56">
        <v>49.9</v>
      </c>
      <c r="E19" s="17">
        <f t="shared" si="0"/>
        <v>2740</v>
      </c>
      <c r="F19" s="54">
        <f t="shared" si="1"/>
        <v>57.384999999999991</v>
      </c>
      <c r="G19" s="84" t="str">
        <f>+VLOOKUP($A19,'[1]STYLE NAMES'!$B:$O,2,FALSE)</f>
        <v>BRAIDED BELT</v>
      </c>
    </row>
    <row r="20" spans="1:7" x14ac:dyDescent="0.2">
      <c r="A20" s="55" t="s">
        <v>19</v>
      </c>
      <c r="B20" s="12" t="str">
        <f>+VLOOKUP($A20,'[1]STYLE NAMES'!$B:$O,4,FALSE)</f>
        <v>ACCESSORIES</v>
      </c>
      <c r="C20" s="12" t="str">
        <f>+VLOOKUP($A20,'[1]STYLE NAMES'!$B:$O,14,FALSE)</f>
        <v>ÖRGÜ KEMER</v>
      </c>
      <c r="D20" s="56">
        <v>49.9</v>
      </c>
      <c r="E20" s="17">
        <f t="shared" si="0"/>
        <v>2740</v>
      </c>
      <c r="F20" s="54">
        <f t="shared" si="1"/>
        <v>57.384999999999991</v>
      </c>
      <c r="G20" s="84" t="str">
        <f>+VLOOKUP($A20,'[1]STYLE NAMES'!$B:$O,2,FALSE)</f>
        <v>BRAIDED BELT</v>
      </c>
    </row>
    <row r="21" spans="1:7" x14ac:dyDescent="0.2">
      <c r="A21" s="55" t="s">
        <v>91</v>
      </c>
      <c r="B21" s="12" t="str">
        <f>+VLOOKUP($A21,'[1]STYLE NAMES'!$B:$O,4,FALSE)</f>
        <v>HORSE</v>
      </c>
      <c r="C21" s="12" t="str">
        <f>+VLOOKUP($A21,'[1]STYLE NAMES'!$B:$O,14,FALSE)</f>
        <v>TECH SERİSİ KULAKLIK</v>
      </c>
      <c r="D21" s="56">
        <v>49.9</v>
      </c>
      <c r="E21" s="17">
        <f t="shared" si="0"/>
        <v>2740</v>
      </c>
      <c r="F21" s="54">
        <f t="shared" si="1"/>
        <v>57.384999999999991</v>
      </c>
      <c r="G21" s="84" t="str">
        <f>+VLOOKUP($A21,'[1]STYLE NAMES'!$B:$O,2,FALSE)</f>
        <v>TECH EAR BONNET</v>
      </c>
    </row>
    <row r="22" spans="1:7" x14ac:dyDescent="0.2">
      <c r="A22" s="55" t="s">
        <v>74</v>
      </c>
      <c r="B22" s="12" t="str">
        <f>+VLOOKUP($A22,'[1]STYLE NAMES'!$B:$O,4,FALSE)</f>
        <v>HORSE</v>
      </c>
      <c r="C22" s="12" t="str">
        <f>+VLOOKUP($A22,'[1]STYLE NAMES'!$B:$O,14,FALSE)</f>
        <v>TECH SERİSİ PONY KULAKLIK</v>
      </c>
      <c r="D22" s="56">
        <v>49.9</v>
      </c>
      <c r="E22" s="17">
        <f t="shared" si="0"/>
        <v>2740</v>
      </c>
      <c r="F22" s="54">
        <f t="shared" si="1"/>
        <v>57.384999999999991</v>
      </c>
      <c r="G22" s="84" t="str">
        <f>+VLOOKUP($A22,'[1]STYLE NAMES'!$B:$O,2,FALSE)</f>
        <v>TECH EAR BONNET</v>
      </c>
    </row>
    <row r="23" spans="1:7" x14ac:dyDescent="0.2">
      <c r="A23" s="55" t="s">
        <v>40</v>
      </c>
      <c r="B23" s="12" t="str">
        <f>+VLOOKUP($A23,'[1]STYLE NAMES'!$B:$O,4,FALSE)</f>
        <v>RIDER</v>
      </c>
      <c r="C23" s="12" t="str">
        <f>+VLOOKUP($A23,'[1]STYLE NAMES'!$B:$O,14,FALSE)</f>
        <v>ERKEK ÇOCUK KISA KOL SOFT ANTRENMAN POLO</v>
      </c>
      <c r="D23" s="56">
        <v>49.9</v>
      </c>
      <c r="E23" s="17">
        <f t="shared" si="0"/>
        <v>2740</v>
      </c>
      <c r="F23" s="54">
        <f t="shared" si="1"/>
        <v>57.384999999999991</v>
      </c>
      <c r="G23" s="84" t="str">
        <f>+VLOOKUP($A23,'[1]STYLE NAMES'!$B:$O,2,FALSE)</f>
        <v>BOY'S SOFT TRAINING POLO SHORT SLEEVE</v>
      </c>
    </row>
    <row r="24" spans="1:7" x14ac:dyDescent="0.2">
      <c r="A24" s="55" t="s">
        <v>137</v>
      </c>
      <c r="B24" s="12" t="str">
        <f>+VLOOKUP($A24,'[1]STYLE NAMES'!$B:$O,4,FALSE)</f>
        <v>ACCESSORIES</v>
      </c>
      <c r="C24" s="12" t="str">
        <f>+VLOOKUP($A24,'[1]STYLE NAMES'!$B:$O,14,FALSE)</f>
        <v>ÖRGÜ KEMER</v>
      </c>
      <c r="D24" s="56">
        <v>59.9</v>
      </c>
      <c r="E24" s="17">
        <f t="shared" si="0"/>
        <v>3290</v>
      </c>
      <c r="F24" s="54">
        <f t="shared" si="1"/>
        <v>68.884999999999991</v>
      </c>
      <c r="G24" s="84" t="str">
        <f>+VLOOKUP($A24,'[1]STYLE NAMES'!$B:$O,2,FALSE)</f>
        <v>BRAIDED BELT</v>
      </c>
    </row>
    <row r="25" spans="1:7" x14ac:dyDescent="0.2">
      <c r="A25" s="55" t="s">
        <v>42</v>
      </c>
      <c r="B25" s="12" t="str">
        <f>+VLOOKUP($A25,'[1]STYLE NAMES'!$B:$O,4,FALSE)</f>
        <v>RIDER</v>
      </c>
      <c r="C25" s="12" t="str">
        <f>+VLOOKUP($A25,'[1]STYLE NAMES'!$B:$O,14,FALSE)</f>
        <v>KIZ ÇOCUK KISA KOL YARIŞMA POLO</v>
      </c>
      <c r="D25" s="56">
        <v>59.9</v>
      </c>
      <c r="E25" s="17">
        <f t="shared" si="0"/>
        <v>3290</v>
      </c>
      <c r="F25" s="54">
        <f t="shared" si="1"/>
        <v>68.884999999999991</v>
      </c>
      <c r="G25" s="84" t="str">
        <f>+VLOOKUP($A25,'[1]STYLE NAMES'!$B:$O,2,FALSE)</f>
        <v>GIRL'S COMPETITION POLO SHORT SLEEVE</v>
      </c>
    </row>
    <row r="26" spans="1:7" x14ac:dyDescent="0.2">
      <c r="A26" s="55" t="s">
        <v>38</v>
      </c>
      <c r="B26" s="12" t="str">
        <f>+VLOOKUP($A26,'[1]STYLE NAMES'!$B:$O,4,FALSE)</f>
        <v>RIDER</v>
      </c>
      <c r="C26" s="12" t="str">
        <f>+VLOOKUP($A26,'[1]STYLE NAMES'!$B:$O,14,FALSE)</f>
        <v>ERKEK ÇOCUK KISA KOL YARIŞMA POLO</v>
      </c>
      <c r="D26" s="56">
        <v>59.9</v>
      </c>
      <c r="E26" s="17">
        <f t="shared" si="0"/>
        <v>3290</v>
      </c>
      <c r="F26" s="54">
        <f t="shared" si="1"/>
        <v>68.884999999999991</v>
      </c>
      <c r="G26" s="84" t="str">
        <f>+VLOOKUP($A26,'[1]STYLE NAMES'!$B:$O,2,FALSE)</f>
        <v>BOY'S COMPETITION POLO SHORT SLEEVE</v>
      </c>
    </row>
    <row r="27" spans="1:7" x14ac:dyDescent="0.2">
      <c r="A27" s="55" t="s">
        <v>76</v>
      </c>
      <c r="B27" s="12" t="str">
        <f>+VLOOKUP($A27,'[1]STYLE NAMES'!$B:$O,4,FALSE)</f>
        <v>RIDER</v>
      </c>
      <c r="C27" s="12" t="str">
        <f>+VLOOKUP($A27,'[1]STYLE NAMES'!$B:$O,14,FALSE)</f>
        <v>KIZ ÇOCUK KISA KOL TEKNİK ANTRENMAN POLO</v>
      </c>
      <c r="D27" s="56">
        <v>59.9</v>
      </c>
      <c r="E27" s="17">
        <f t="shared" si="0"/>
        <v>3290</v>
      </c>
      <c r="F27" s="54">
        <f t="shared" si="1"/>
        <v>68.884999999999991</v>
      </c>
      <c r="G27" s="84" t="str">
        <f>+VLOOKUP($A27,'[1]STYLE NAMES'!$B:$O,2,FALSE)</f>
        <v>GIRL'S TECH TRAINING POLO SHORT SLEEVE</v>
      </c>
    </row>
    <row r="28" spans="1:7" x14ac:dyDescent="0.2">
      <c r="A28" s="55" t="s">
        <v>39</v>
      </c>
      <c r="B28" s="12" t="str">
        <f>+VLOOKUP($A28,'[1]STYLE NAMES'!$B:$O,4,FALSE)</f>
        <v>RIDER</v>
      </c>
      <c r="C28" s="12" t="str">
        <f>+VLOOKUP($A28,'[1]STYLE NAMES'!$B:$O,14,FALSE)</f>
        <v>ERKEK ÇOCUK KISA KOL YARIŞMA POLO</v>
      </c>
      <c r="D28" s="56">
        <v>59.9</v>
      </c>
      <c r="E28" s="17">
        <f t="shared" si="0"/>
        <v>3290</v>
      </c>
      <c r="F28" s="54">
        <f t="shared" si="1"/>
        <v>68.884999999999991</v>
      </c>
      <c r="G28" s="84" t="str">
        <f>+VLOOKUP($A28,'[1]STYLE NAMES'!$B:$O,2,FALSE)</f>
        <v>BOY'S COMPETITION POLO SHORT SLEEVE</v>
      </c>
    </row>
    <row r="29" spans="1:7" x14ac:dyDescent="0.2">
      <c r="A29" s="55" t="s">
        <v>78</v>
      </c>
      <c r="B29" s="12" t="str">
        <f>+VLOOKUP($A29,'[1]STYLE NAMES'!$B:$O,4,FALSE)</f>
        <v>RIDER</v>
      </c>
      <c r="C29" s="12" t="str">
        <f>+VLOOKUP($A29,'[1]STYLE NAMES'!$B:$O,14,FALSE)</f>
        <v>ERKEK ÇOCUK KISA KOL TEKNİK ANTRENMAN POLO</v>
      </c>
      <c r="D29" s="56">
        <v>59.9</v>
      </c>
      <c r="E29" s="17">
        <f t="shared" si="0"/>
        <v>3290</v>
      </c>
      <c r="F29" s="54">
        <f t="shared" si="1"/>
        <v>68.884999999999991</v>
      </c>
      <c r="G29" s="84" t="str">
        <f>+VLOOKUP($A29,'[1]STYLE NAMES'!$B:$O,2,FALSE)</f>
        <v>BOY'S TECH TRAINING POLO SHORT SLEEVE</v>
      </c>
    </row>
    <row r="30" spans="1:7" x14ac:dyDescent="0.2">
      <c r="A30" s="55" t="s">
        <v>62</v>
      </c>
      <c r="B30" s="12" t="str">
        <f>+VLOOKUP($A30,'[1]STYLE NAMES'!$B:$O,4,FALSE)</f>
        <v>RIDER</v>
      </c>
      <c r="C30" s="12" t="str">
        <f>+VLOOKUP($A30,'[1]STYLE NAMES'!$B:$O,14,FALSE)</f>
        <v>KIZ ÇOCUK UZUN KOL FERMUARLI T-SHIRT</v>
      </c>
      <c r="D30" s="56">
        <v>69.900000000000006</v>
      </c>
      <c r="E30" s="17">
        <f t="shared" si="0"/>
        <v>3840</v>
      </c>
      <c r="F30" s="54">
        <f t="shared" si="1"/>
        <v>80.385000000000005</v>
      </c>
      <c r="G30" s="84" t="str">
        <f>+VLOOKUP($A30,'[1]STYLE NAMES'!$B:$O,2,FALSE)</f>
        <v>GIRL'S LONG SLEEVE BASE LAYER QUARTER ZIP</v>
      </c>
    </row>
    <row r="31" spans="1:7" x14ac:dyDescent="0.2">
      <c r="A31" s="55" t="s">
        <v>58</v>
      </c>
      <c r="B31" s="12" t="str">
        <f>+VLOOKUP($A31,'[1]STYLE NAMES'!$B:$O,4,FALSE)</f>
        <v>RIDER</v>
      </c>
      <c r="C31" s="12" t="str">
        <f>+VLOOKUP($A31,'[1]STYLE NAMES'!$B:$O,14,FALSE)</f>
        <v>KADIN TECH T-SHIRT</v>
      </c>
      <c r="D31" s="56">
        <v>69.900000000000006</v>
      </c>
      <c r="E31" s="17">
        <f t="shared" si="0"/>
        <v>3840</v>
      </c>
      <c r="F31" s="54">
        <f t="shared" si="1"/>
        <v>80.385000000000005</v>
      </c>
      <c r="G31" s="84" t="str">
        <f>+VLOOKUP($A31,'[1]STYLE NAMES'!$B:$O,2,FALSE)</f>
        <v>WOMEN'S TECH T-SHIRT</v>
      </c>
    </row>
    <row r="32" spans="1:7" x14ac:dyDescent="0.2">
      <c r="A32" s="55" t="s">
        <v>57</v>
      </c>
      <c r="B32" s="12" t="str">
        <f>+VLOOKUP($A32,'[1]STYLE NAMES'!$B:$O,4,FALSE)</f>
        <v>RIDER</v>
      </c>
      <c r="C32" s="12" t="str">
        <f>+VLOOKUP($A32,'[1]STYLE NAMES'!$B:$O,14,FALSE)</f>
        <v>KADIN SOFT ANTRENMAN POLO</v>
      </c>
      <c r="D32" s="56">
        <v>69.900000000000006</v>
      </c>
      <c r="E32" s="17">
        <f t="shared" si="0"/>
        <v>3840</v>
      </c>
      <c r="F32" s="54">
        <f t="shared" si="1"/>
        <v>80.385000000000005</v>
      </c>
      <c r="G32" s="84" t="str">
        <f>+VLOOKUP($A32,'[1]STYLE NAMES'!$B:$O,2,FALSE)</f>
        <v>WOMEN'S SOFT TRAINING POLO</v>
      </c>
    </row>
    <row r="33" spans="1:7" x14ac:dyDescent="0.2">
      <c r="A33" s="55" t="s">
        <v>52</v>
      </c>
      <c r="B33" s="12" t="str">
        <f>+VLOOKUP($A33,'[1]STYLE NAMES'!$B:$O,4,FALSE)</f>
        <v>RIDER</v>
      </c>
      <c r="C33" s="12" t="str">
        <f>+VLOOKUP($A33,'[1]STYLE NAMES'!$B:$O,14,FALSE)</f>
        <v xml:space="preserve">ERKEK KISA KOL SOFT ANTRENMAN POLO </v>
      </c>
      <c r="D33" s="56">
        <v>69.900000000000006</v>
      </c>
      <c r="E33" s="17">
        <f t="shared" si="0"/>
        <v>3840</v>
      </c>
      <c r="F33" s="54">
        <f t="shared" si="1"/>
        <v>80.385000000000005</v>
      </c>
      <c r="G33" s="84" t="str">
        <f>+VLOOKUP($A33,'[1]STYLE NAMES'!$B:$O,2,FALSE)</f>
        <v>MEN'S SOFT TRAINING POLO SHORT SLEEVE</v>
      </c>
    </row>
    <row r="34" spans="1:7" x14ac:dyDescent="0.2">
      <c r="A34" s="55" t="s">
        <v>77</v>
      </c>
      <c r="B34" s="12" t="str">
        <f>+VLOOKUP($A34,'[1]STYLE NAMES'!$B:$O,4,FALSE)</f>
        <v>RIDER</v>
      </c>
      <c r="C34" s="12" t="str">
        <f>+VLOOKUP($A34,'[1]STYLE NAMES'!$B:$O,14,FALSE)</f>
        <v>KIZ ÇOCUK KISA KOL YARIŞMA POLO</v>
      </c>
      <c r="D34" s="56">
        <v>69.900000000000006</v>
      </c>
      <c r="E34" s="17">
        <f t="shared" si="0"/>
        <v>3840</v>
      </c>
      <c r="F34" s="54">
        <f t="shared" si="1"/>
        <v>80.385000000000005</v>
      </c>
      <c r="G34" s="84" t="str">
        <f>+VLOOKUP($A34,'[1]STYLE NAMES'!$B:$O,2,FALSE)</f>
        <v>GIRL'S COMPETITION POLO SHORT SLEEVE</v>
      </c>
    </row>
    <row r="35" spans="1:7" x14ac:dyDescent="0.2">
      <c r="A35" s="55" t="s">
        <v>41</v>
      </c>
      <c r="B35" s="12" t="str">
        <f>+VLOOKUP($A35,'[1]STYLE NAMES'!$B:$O,4,FALSE)</f>
        <v>RIDER</v>
      </c>
      <c r="C35" s="12" t="str">
        <f>+VLOOKUP($A35,'[1]STYLE NAMES'!$B:$O,14,FALSE)</f>
        <v>KIZ ÇOCUK UZUN KOL YARIŞMA POLO</v>
      </c>
      <c r="D35" s="56">
        <v>69.900000000000006</v>
      </c>
      <c r="E35" s="17">
        <f t="shared" ref="E35:E66" si="2">ROUNDDOWN(+D35*EURKUR,-1)</f>
        <v>3840</v>
      </c>
      <c r="F35" s="54">
        <f t="shared" ref="F35:F66" si="3">+D35*$F$1</f>
        <v>80.385000000000005</v>
      </c>
      <c r="G35" s="84" t="str">
        <f>+VLOOKUP($A35,'[1]STYLE NAMES'!$B:$O,2,FALSE)</f>
        <v>GIRL'S COMPETITION POLO LONG SLEEVE</v>
      </c>
    </row>
    <row r="36" spans="1:7" x14ac:dyDescent="0.2">
      <c r="A36" s="55" t="s">
        <v>36</v>
      </c>
      <c r="B36" s="12" t="str">
        <f>+VLOOKUP($A36,'[1]STYLE NAMES'!$B:$O,4,FALSE)</f>
        <v>RIDER</v>
      </c>
      <c r="C36" s="12" t="str">
        <f>+VLOOKUP($A36,'[1]STYLE NAMES'!$B:$O,14,FALSE)</f>
        <v>ERKEK ÇOCUK UZUN KOL YARIŞMA POLO</v>
      </c>
      <c r="D36" s="56">
        <v>69.900000000000006</v>
      </c>
      <c r="E36" s="17">
        <f t="shared" si="2"/>
        <v>3840</v>
      </c>
      <c r="F36" s="54">
        <f t="shared" si="3"/>
        <v>80.385000000000005</v>
      </c>
      <c r="G36" s="84" t="str">
        <f>+VLOOKUP($A36,'[1]STYLE NAMES'!$B:$O,2,FALSE)</f>
        <v>BOY'S COMPETITION POLO LONG SLEEVE</v>
      </c>
    </row>
    <row r="37" spans="1:7" x14ac:dyDescent="0.2">
      <c r="A37" s="55" t="s">
        <v>37</v>
      </c>
      <c r="B37" s="12" t="str">
        <f>+VLOOKUP($A37,'[1]STYLE NAMES'!$B:$O,4,FALSE)</f>
        <v>RIDER</v>
      </c>
      <c r="C37" s="12" t="str">
        <f>+VLOOKUP($A37,'[1]STYLE NAMES'!$B:$O,14,FALSE)</f>
        <v>ERKEK ÇOCUK UZUN KOL YARIŞMA POLO</v>
      </c>
      <c r="D37" s="56">
        <v>69.900000000000006</v>
      </c>
      <c r="E37" s="17">
        <f t="shared" si="2"/>
        <v>3840</v>
      </c>
      <c r="F37" s="54">
        <f t="shared" si="3"/>
        <v>80.385000000000005</v>
      </c>
      <c r="G37" s="84" t="str">
        <f>+VLOOKUP($A37,'[1]STYLE NAMES'!$B:$O,2,FALSE)</f>
        <v>BOY'S COMPETITION POLO LONG SLEEVE</v>
      </c>
    </row>
    <row r="38" spans="1:7" x14ac:dyDescent="0.2">
      <c r="A38" s="55" t="s">
        <v>79</v>
      </c>
      <c r="B38" s="12" t="str">
        <f>+VLOOKUP($A38,'[1]STYLE NAMES'!$B:$O,4,FALSE)</f>
        <v>RIDER</v>
      </c>
      <c r="C38" s="12" t="str">
        <f>+VLOOKUP($A38,'[1]STYLE NAMES'!$B:$O,14,FALSE)</f>
        <v>KIZ ÇOCUK KISA KOL YARIŞMA POLO</v>
      </c>
      <c r="D38" s="56">
        <v>69.900000000000006</v>
      </c>
      <c r="E38" s="17">
        <f t="shared" si="2"/>
        <v>3840</v>
      </c>
      <c r="F38" s="54">
        <f t="shared" si="3"/>
        <v>80.385000000000005</v>
      </c>
      <c r="G38" s="84" t="str">
        <f>+VLOOKUP($A38,'[1]STYLE NAMES'!$B:$O,2,FALSE)</f>
        <v>GIRL'S COMPETITION POLO SHORT SLEEVE</v>
      </c>
    </row>
    <row r="39" spans="1:7" x14ac:dyDescent="0.2">
      <c r="A39" s="55" t="s">
        <v>43</v>
      </c>
      <c r="B39" s="12" t="str">
        <f>+VLOOKUP($A39,'[1]STYLE NAMES'!$B:$O,4,FALSE)</f>
        <v>RIDER</v>
      </c>
      <c r="C39" s="12" t="str">
        <f>+VLOOKUP($A39,'[1]STYLE NAMES'!$B:$O,14,FALSE)</f>
        <v>KIZ ÇOCUK KISA KOL YARIŞMA POLO</v>
      </c>
      <c r="D39" s="56">
        <v>69.900000000000006</v>
      </c>
      <c r="E39" s="17">
        <f t="shared" si="2"/>
        <v>3840</v>
      </c>
      <c r="F39" s="54">
        <f t="shared" si="3"/>
        <v>80.385000000000005</v>
      </c>
      <c r="G39" s="84" t="str">
        <f>+VLOOKUP($A39,'[1]STYLE NAMES'!$B:$O,2,FALSE)</f>
        <v>GIRL'S COMPETITION POLO SHORT SLEEVE</v>
      </c>
    </row>
    <row r="40" spans="1:7" x14ac:dyDescent="0.2">
      <c r="A40" s="55" t="s">
        <v>11</v>
      </c>
      <c r="B40" s="12" t="str">
        <f>+VLOOKUP($A40,'[1]STYLE NAMES'!$B:$O,4,FALSE)</f>
        <v>HORSE</v>
      </c>
      <c r="C40" s="12" t="str">
        <f>+VLOOKUP($A40,'[1]STYLE NAMES'!$B:$O,14,FALSE)</f>
        <v>POLAR ÇALIŞMA BLANKETİ</v>
      </c>
      <c r="D40" s="56">
        <v>79.900000000000006</v>
      </c>
      <c r="E40" s="17">
        <f t="shared" si="2"/>
        <v>4390</v>
      </c>
      <c r="F40" s="54">
        <f t="shared" si="3"/>
        <v>91.885000000000005</v>
      </c>
      <c r="G40" s="84" t="str">
        <f>+VLOOKUP($A40,'[1]STYLE NAMES'!$B:$O,2,FALSE)</f>
        <v>FLEECE EXERCISE SHEET</v>
      </c>
    </row>
    <row r="41" spans="1:7" x14ac:dyDescent="0.2">
      <c r="A41" s="55" t="s">
        <v>93</v>
      </c>
      <c r="B41" s="12" t="str">
        <f>+VLOOKUP($A41,'[1]STYLE NAMES'!$B:$O,4,FALSE)</f>
        <v>HORSE</v>
      </c>
      <c r="C41" s="12" t="str">
        <f>+VLOOKUP($A41,'[1]STYLE NAMES'!$B:$O,14,FALSE)</f>
        <v>PONY POLAR ÇALIŞMA BLANKETİ</v>
      </c>
      <c r="D41" s="56">
        <v>79.900000000000006</v>
      </c>
      <c r="E41" s="17">
        <f t="shared" si="2"/>
        <v>4390</v>
      </c>
      <c r="F41" s="54">
        <f t="shared" si="3"/>
        <v>91.885000000000005</v>
      </c>
      <c r="G41" s="84" t="str">
        <f>+VLOOKUP($A41,'[1]STYLE NAMES'!$B:$O,2,FALSE)</f>
        <v>FLEECE EXERCISE SHEET</v>
      </c>
    </row>
    <row r="42" spans="1:7" x14ac:dyDescent="0.2">
      <c r="A42" s="55" t="s">
        <v>3</v>
      </c>
      <c r="B42" s="12" t="str">
        <f>+VLOOKUP($A42,'[1]STYLE NAMES'!$B:$O,4,FALSE)</f>
        <v>HORSE</v>
      </c>
      <c r="C42" s="12" t="str">
        <f>+VLOOKUP($A42,'[1]STYLE NAMES'!$B:$O,14,FALSE)</f>
        <v>ELMAS DESEN EYER ALTI</v>
      </c>
      <c r="D42" s="56">
        <v>79.900000000000006</v>
      </c>
      <c r="E42" s="17">
        <f t="shared" si="2"/>
        <v>4390</v>
      </c>
      <c r="F42" s="54">
        <f t="shared" si="3"/>
        <v>91.885000000000005</v>
      </c>
      <c r="G42" s="84" t="str">
        <f>+VLOOKUP($A42,'[1]STYLE NAMES'!$B:$O,2,FALSE)</f>
        <v>DIAMOND SADDLE PAD</v>
      </c>
    </row>
    <row r="43" spans="1:7" x14ac:dyDescent="0.2">
      <c r="A43" s="55" t="s">
        <v>5</v>
      </c>
      <c r="B43" s="12" t="str">
        <f>+VLOOKUP($A43,'[1]STYLE NAMES'!$B:$O,4,FALSE)</f>
        <v>HORSE</v>
      </c>
      <c r="C43" s="12" t="str">
        <f>+VLOOKUP($A43,'[1]STYLE NAMES'!$B:$O,14,FALSE)</f>
        <v>ELMAS DESEN PONY EYER ALTI</v>
      </c>
      <c r="D43" s="56">
        <v>79.900000000000006</v>
      </c>
      <c r="E43" s="17">
        <f t="shared" si="2"/>
        <v>4390</v>
      </c>
      <c r="F43" s="54">
        <f t="shared" si="3"/>
        <v>91.885000000000005</v>
      </c>
      <c r="G43" s="84" t="str">
        <f>+VLOOKUP($A43,'[1]STYLE NAMES'!$B:$O,2,FALSE)</f>
        <v xml:space="preserve"> DIAMOND SADDLE PAD</v>
      </c>
    </row>
    <row r="44" spans="1:7" x14ac:dyDescent="0.2">
      <c r="A44" s="55" t="s">
        <v>92</v>
      </c>
      <c r="B44" s="12" t="str">
        <f>+VLOOKUP($A44,'[1]STYLE NAMES'!$B:$O,4,FALSE)</f>
        <v>HORSE</v>
      </c>
      <c r="C44" s="12" t="str">
        <f>+VLOOKUP($A44,'[1]STYLE NAMES'!$B:$O,14,FALSE)</f>
        <v>PETEK DESEN EYER ALTI</v>
      </c>
      <c r="D44" s="56">
        <v>79.900000000000006</v>
      </c>
      <c r="E44" s="17">
        <f t="shared" si="2"/>
        <v>4390</v>
      </c>
      <c r="F44" s="54">
        <f t="shared" si="3"/>
        <v>91.885000000000005</v>
      </c>
      <c r="G44" s="84" t="str">
        <f>+VLOOKUP($A44,'[1]STYLE NAMES'!$B:$O,2,FALSE)</f>
        <v>HONEYCOMB SADDLE PAD</v>
      </c>
    </row>
    <row r="45" spans="1:7" x14ac:dyDescent="0.2">
      <c r="A45" s="55" t="s">
        <v>6</v>
      </c>
      <c r="B45" s="12" t="str">
        <f>+VLOOKUP($A45,'[1]STYLE NAMES'!$B:$O,4,FALSE)</f>
        <v>HORSE</v>
      </c>
      <c r="C45" s="12" t="str">
        <f>+VLOOKUP($A45,'[1]STYLE NAMES'!$B:$O,14,FALSE)</f>
        <v>PETEK DESEN PONY EYER ALTI</v>
      </c>
      <c r="D45" s="56">
        <v>79.900000000000006</v>
      </c>
      <c r="E45" s="17">
        <f t="shared" si="2"/>
        <v>4390</v>
      </c>
      <c r="F45" s="54">
        <f t="shared" si="3"/>
        <v>91.885000000000005</v>
      </c>
      <c r="G45" s="84" t="str">
        <f>+VLOOKUP($A45,'[1]STYLE NAMES'!$B:$O,2,FALSE)</f>
        <v>HONEYCOMB SADDLEPAD</v>
      </c>
    </row>
    <row r="46" spans="1:7" x14ac:dyDescent="0.2">
      <c r="A46" s="55" t="s">
        <v>12</v>
      </c>
      <c r="B46" s="12" t="str">
        <f>+VLOOKUP($A46,'[1]STYLE NAMES'!$B:$O,4,FALSE)</f>
        <v>HORSE</v>
      </c>
      <c r="C46" s="12" t="str">
        <f>+VLOOKUP($A46,'[1]STYLE NAMES'!$B:$O,14,FALSE)</f>
        <v>SİNEKLİK BLANKET</v>
      </c>
      <c r="D46" s="56">
        <v>79.900000000000006</v>
      </c>
      <c r="E46" s="17">
        <f t="shared" si="2"/>
        <v>4390</v>
      </c>
      <c r="F46" s="54">
        <f t="shared" si="3"/>
        <v>91.885000000000005</v>
      </c>
      <c r="G46" s="84" t="str">
        <f>+VLOOKUP($A46,'[1]STYLE NAMES'!$B:$O,2,FALSE)</f>
        <v>FLY SHEET</v>
      </c>
    </row>
    <row r="47" spans="1:7" x14ac:dyDescent="0.2">
      <c r="A47" s="55" t="s">
        <v>95</v>
      </c>
      <c r="B47" s="12" t="str">
        <f>+VLOOKUP($A47,'[1]STYLE NAMES'!$B:$O,4,FALSE)</f>
        <v>HORSE</v>
      </c>
      <c r="C47" s="12" t="str">
        <f>+VLOOKUP($A47,'[1]STYLE NAMES'!$B:$O,14,FALSE)</f>
        <v>PONY SİNEKLİK BLANKET</v>
      </c>
      <c r="D47" s="56">
        <v>79.900000000000006</v>
      </c>
      <c r="E47" s="17">
        <f t="shared" si="2"/>
        <v>4390</v>
      </c>
      <c r="F47" s="54">
        <f t="shared" si="3"/>
        <v>91.885000000000005</v>
      </c>
      <c r="G47" s="84" t="str">
        <f>+VLOOKUP($A47,'[1]STYLE NAMES'!$B:$O,2,FALSE)</f>
        <v>FLY SHEET</v>
      </c>
    </row>
    <row r="48" spans="1:7" x14ac:dyDescent="0.2">
      <c r="A48" s="55" t="s">
        <v>7</v>
      </c>
      <c r="B48" s="12" t="str">
        <f>+VLOOKUP($A48,'[1]STYLE NAMES'!$B:$O,4,FALSE)</f>
        <v>HORSE</v>
      </c>
      <c r="C48" s="12" t="str">
        <f>+VLOOKUP($A48,'[1]STYLE NAMES'!$B:$O,14,FALSE)</f>
        <v>POLAR BLANKET</v>
      </c>
      <c r="D48" s="56">
        <v>89.9</v>
      </c>
      <c r="E48" s="17">
        <f t="shared" si="2"/>
        <v>4940</v>
      </c>
      <c r="F48" s="54">
        <f t="shared" si="3"/>
        <v>103.38500000000001</v>
      </c>
      <c r="G48" s="84" t="str">
        <f>+VLOOKUP($A48,'[1]STYLE NAMES'!$B:$O,2,FALSE)</f>
        <v>FLEECE BLANKET</v>
      </c>
    </row>
    <row r="49" spans="1:7" x14ac:dyDescent="0.2">
      <c r="A49" s="55" t="s">
        <v>94</v>
      </c>
      <c r="B49" s="12" t="str">
        <f>+VLOOKUP($A49,'[1]STYLE NAMES'!$B:$O,4,FALSE)</f>
        <v>HORSE</v>
      </c>
      <c r="C49" s="12" t="str">
        <f>+VLOOKUP($A49,'[1]STYLE NAMES'!$B:$O,14,FALSE)</f>
        <v>PONY POLAR BLANKET</v>
      </c>
      <c r="D49" s="56">
        <v>89.9</v>
      </c>
      <c r="E49" s="17">
        <f t="shared" si="2"/>
        <v>4940</v>
      </c>
      <c r="F49" s="54">
        <f t="shared" si="3"/>
        <v>103.38500000000001</v>
      </c>
      <c r="G49" s="84" t="str">
        <f>+VLOOKUP($A49,'[1]STYLE NAMES'!$B:$O,2,FALSE)</f>
        <v>FLEECE BLANKET</v>
      </c>
    </row>
    <row r="50" spans="1:7" x14ac:dyDescent="0.2">
      <c r="A50" s="55" t="s">
        <v>55</v>
      </c>
      <c r="B50" s="12" t="str">
        <f>+VLOOKUP($A50,'[1]STYLE NAMES'!$B:$O,4,FALSE)</f>
        <v>RIDER</v>
      </c>
      <c r="C50" s="12" t="str">
        <f>+VLOOKUP($A50,'[1]STYLE NAMES'!$B:$O,14,FALSE)</f>
        <v>KADIN KISA KOL YARIŞMA POLO</v>
      </c>
      <c r="D50" s="56">
        <v>89.9</v>
      </c>
      <c r="E50" s="17">
        <f t="shared" si="2"/>
        <v>4940</v>
      </c>
      <c r="F50" s="54">
        <f t="shared" si="3"/>
        <v>103.38500000000001</v>
      </c>
      <c r="G50" s="84" t="str">
        <f>+VLOOKUP($A50,'[1]STYLE NAMES'!$B:$O,2,FALSE)</f>
        <v>WOMEN'S COMPETITION POLO SHORT SLEEVE</v>
      </c>
    </row>
    <row r="51" spans="1:7" x14ac:dyDescent="0.2">
      <c r="A51" s="55" t="s">
        <v>49</v>
      </c>
      <c r="B51" s="12" t="str">
        <f>+VLOOKUP($A51,'[1]STYLE NAMES'!$B:$O,4,FALSE)</f>
        <v>RIDER</v>
      </c>
      <c r="C51" s="12" t="str">
        <f>+VLOOKUP($A51,'[1]STYLE NAMES'!$B:$O,14,FALSE)</f>
        <v>ERKEK KISA KOL YARIŞMA POLO</v>
      </c>
      <c r="D51" s="56">
        <v>89.9</v>
      </c>
      <c r="E51" s="17">
        <f t="shared" si="2"/>
        <v>4940</v>
      </c>
      <c r="F51" s="54">
        <f t="shared" si="3"/>
        <v>103.38500000000001</v>
      </c>
      <c r="G51" s="84" t="str">
        <f>+VLOOKUP($A51,'[1]STYLE NAMES'!$B:$O,2,FALSE)</f>
        <v>MEN'S COMPETITION POLO SHORT SLEEVE</v>
      </c>
    </row>
    <row r="52" spans="1:7" x14ac:dyDescent="0.2">
      <c r="A52" s="55" t="s">
        <v>80</v>
      </c>
      <c r="B52" s="12" t="str">
        <f>+VLOOKUP($A52,'[1]STYLE NAMES'!$B:$O,4,FALSE)</f>
        <v>RIDER</v>
      </c>
      <c r="C52" s="12" t="str">
        <f>+VLOOKUP($A52,'[1]STYLE NAMES'!$B:$O,14,FALSE)</f>
        <v>KADIN KISA KOL TEKNİK ANTRENMAN POLO</v>
      </c>
      <c r="D52" s="56">
        <v>89.9</v>
      </c>
      <c r="E52" s="17">
        <f t="shared" si="2"/>
        <v>4940</v>
      </c>
      <c r="F52" s="54">
        <f t="shared" si="3"/>
        <v>103.38500000000001</v>
      </c>
      <c r="G52" s="84" t="str">
        <f>+VLOOKUP($A52,'[1]STYLE NAMES'!$B:$O,2,FALSE)</f>
        <v>WOMEN'S TECH TRAINING POLO SHORT SLEEVE</v>
      </c>
    </row>
    <row r="53" spans="1:7" x14ac:dyDescent="0.2">
      <c r="A53" s="55" t="s">
        <v>50</v>
      </c>
      <c r="B53" s="12" t="str">
        <f>+VLOOKUP($A53,'[1]STYLE NAMES'!$B:$O,4,FALSE)</f>
        <v>RIDER</v>
      </c>
      <c r="C53" s="12" t="str">
        <f>+VLOOKUP($A53,'[1]STYLE NAMES'!$B:$O,14,FALSE)</f>
        <v>ERKEK KISA KOL YARIŞMA POLO</v>
      </c>
      <c r="D53" s="56">
        <v>89.9</v>
      </c>
      <c r="E53" s="17">
        <f t="shared" si="2"/>
        <v>4940</v>
      </c>
      <c r="F53" s="54">
        <f t="shared" si="3"/>
        <v>103.38500000000001</v>
      </c>
      <c r="G53" s="84" t="str">
        <f>+VLOOKUP($A53,'[1]STYLE NAMES'!$B:$O,2,FALSE)</f>
        <v>MEN'S COMPETITION POLO SHORT SLEEVE</v>
      </c>
    </row>
    <row r="54" spans="1:7" x14ac:dyDescent="0.2">
      <c r="A54" s="55" t="s">
        <v>30</v>
      </c>
      <c r="B54" s="12" t="str">
        <f>+VLOOKUP($A54,'[1]STYLE NAMES'!$B:$O,4,FALSE)</f>
        <v>RIDER</v>
      </c>
      <c r="C54" s="12" t="str">
        <f>+VLOOKUP($A54,'[1]STYLE NAMES'!$B:$O,14,FALSE)</f>
        <v>ÇOCUK ŞİŞME YELEK</v>
      </c>
      <c r="D54" s="56">
        <v>89.9</v>
      </c>
      <c r="E54" s="17">
        <f t="shared" si="2"/>
        <v>4940</v>
      </c>
      <c r="F54" s="54">
        <f t="shared" si="3"/>
        <v>103.38500000000001</v>
      </c>
      <c r="G54" s="84" t="str">
        <f>+VLOOKUP($A54,'[1]STYLE NAMES'!$B:$O,2,FALSE)</f>
        <v>KID'S PUFFER VEST</v>
      </c>
    </row>
    <row r="55" spans="1:7" x14ac:dyDescent="0.2">
      <c r="A55" s="55" t="s">
        <v>81</v>
      </c>
      <c r="B55" s="12" t="str">
        <f>+VLOOKUP($A55,'[1]STYLE NAMES'!$B:$O,4,FALSE)</f>
        <v>RIDER</v>
      </c>
      <c r="C55" s="12" t="str">
        <f>+VLOOKUP($A55,'[1]STYLE NAMES'!$B:$O,14,FALSE)</f>
        <v>ERKEK KISA KOL TEKNİK ANTRENMAN POLO</v>
      </c>
      <c r="D55" s="56">
        <v>89.9</v>
      </c>
      <c r="E55" s="17">
        <f t="shared" si="2"/>
        <v>4940</v>
      </c>
      <c r="F55" s="54">
        <f t="shared" si="3"/>
        <v>103.38500000000001</v>
      </c>
      <c r="G55" s="84" t="str">
        <f>+VLOOKUP($A55,'[1]STYLE NAMES'!$B:$O,2,FALSE)</f>
        <v>MEN'S TECH TRAINING POLO SHORT SLEEVE</v>
      </c>
    </row>
    <row r="56" spans="1:7" x14ac:dyDescent="0.2">
      <c r="A56" s="55" t="s">
        <v>84</v>
      </c>
      <c r="B56" s="12" t="str">
        <f>+VLOOKUP($A56,'[1]STYLE NAMES'!$B:$O,4,FALSE)</f>
        <v>RIDER</v>
      </c>
      <c r="C56" s="12" t="str">
        <f>+VLOOKUP($A56,'[1]STYLE NAMES'!$B:$O,14,FALSE)</f>
        <v>ERKEK KISA KOL YARIŞMA POLO</v>
      </c>
      <c r="D56" s="56">
        <v>89.9</v>
      </c>
      <c r="E56" s="17">
        <f t="shared" si="2"/>
        <v>4940</v>
      </c>
      <c r="F56" s="54">
        <f t="shared" si="3"/>
        <v>103.38500000000001</v>
      </c>
      <c r="G56" s="84" t="str">
        <f>+VLOOKUP($A56,'[1]STYLE NAMES'!$B:$O,2,FALSE)</f>
        <v>MEN'S COMPETITION POLO SHORT SLEEVE</v>
      </c>
    </row>
    <row r="57" spans="1:7" x14ac:dyDescent="0.2">
      <c r="A57" s="55" t="s">
        <v>28</v>
      </c>
      <c r="B57" s="12" t="str">
        <f>+VLOOKUP($A57,'[1]STYLE NAMES'!$B:$O,4,FALSE)</f>
        <v>ACCESSORIES</v>
      </c>
      <c r="C57" s="12" t="str">
        <f>+VLOOKUP($A57,'[1]STYLE NAMES'!$B:$O,14,FALSE)</f>
        <v>AHIR PERDESİ</v>
      </c>
      <c r="D57" s="56">
        <v>99.9</v>
      </c>
      <c r="E57" s="17">
        <f t="shared" si="2"/>
        <v>5490</v>
      </c>
      <c r="F57" s="54">
        <f t="shared" si="3"/>
        <v>114.88499999999999</v>
      </c>
      <c r="G57" s="84" t="str">
        <f>+VLOOKUP($A57,'[1]STYLE NAMES'!$B:$O,2,FALSE)</f>
        <v>STABLE CURTAIN</v>
      </c>
    </row>
    <row r="58" spans="1:7" x14ac:dyDescent="0.2">
      <c r="A58" s="55" t="s">
        <v>9</v>
      </c>
      <c r="B58" s="12" t="str">
        <f>+VLOOKUP($A58,'[1]STYLE NAMES'!$B:$O,4,FALSE)</f>
        <v>HORSE</v>
      </c>
      <c r="C58" s="12" t="str">
        <f>+VLOOKUP($A58,'[1]STYLE NAMES'!$B:$O,14,FALSE)</f>
        <v>TER BLANKETİ</v>
      </c>
      <c r="D58" s="56">
        <v>99.9</v>
      </c>
      <c r="E58" s="17">
        <f t="shared" si="2"/>
        <v>5490</v>
      </c>
      <c r="F58" s="54">
        <f t="shared" si="3"/>
        <v>114.88499999999999</v>
      </c>
      <c r="G58" s="84" t="str">
        <f>+VLOOKUP($A58,'[1]STYLE NAMES'!$B:$O,2,FALSE)</f>
        <v>COOLER BLANKET</v>
      </c>
    </row>
    <row r="59" spans="1:7" x14ac:dyDescent="0.2">
      <c r="A59" s="55" t="s">
        <v>97</v>
      </c>
      <c r="B59" s="12" t="str">
        <f>+VLOOKUP($A59,'[1]STYLE NAMES'!$B:$O,4,FALSE)</f>
        <v>HORSE</v>
      </c>
      <c r="C59" s="12" t="str">
        <f>+VLOOKUP($A59,'[1]STYLE NAMES'!$B:$O,14,FALSE)</f>
        <v>PONY TER BLANKETİ</v>
      </c>
      <c r="D59" s="56">
        <v>99.9</v>
      </c>
      <c r="E59" s="17">
        <f t="shared" si="2"/>
        <v>5490</v>
      </c>
      <c r="F59" s="54">
        <f t="shared" si="3"/>
        <v>114.88499999999999</v>
      </c>
      <c r="G59" s="84" t="str">
        <f>+VLOOKUP($A59,'[1]STYLE NAMES'!$B:$O,2,FALSE)</f>
        <v>COOLER BLANKET</v>
      </c>
    </row>
    <row r="60" spans="1:7" x14ac:dyDescent="0.2">
      <c r="A60" s="55" t="s">
        <v>88</v>
      </c>
      <c r="B60" s="12" t="str">
        <f>+VLOOKUP($A60,'[1]STYLE NAMES'!$B:$O,4,FALSE)</f>
        <v>HORSE</v>
      </c>
      <c r="C60" s="12" t="str">
        <f>+VLOOKUP($A60,'[1]STYLE NAMES'!$B:$O,14,FALSE)</f>
        <v>HERITAGE DIAMOND DESEN EYER ALTI</v>
      </c>
      <c r="D60" s="56">
        <v>99.9</v>
      </c>
      <c r="E60" s="17">
        <f t="shared" si="2"/>
        <v>5490</v>
      </c>
      <c r="F60" s="54">
        <f t="shared" si="3"/>
        <v>114.88499999999999</v>
      </c>
      <c r="G60" s="84" t="str">
        <f>+VLOOKUP($A60,'[1]STYLE NAMES'!$B:$O,2,FALSE)</f>
        <v>HERITAGE DIAMOND SADDLE PAD</v>
      </c>
    </row>
    <row r="61" spans="1:7" x14ac:dyDescent="0.2">
      <c r="A61" s="55" t="s">
        <v>4</v>
      </c>
      <c r="B61" s="12" t="str">
        <f>+VLOOKUP($A61,'[1]STYLE NAMES'!$B:$O,4,FALSE)</f>
        <v>HORSE</v>
      </c>
      <c r="C61" s="12" t="str">
        <f>+VLOOKUP($A61,'[1]STYLE NAMES'!$B:$O,14,FALSE)</f>
        <v>SÜET EYER ALTI</v>
      </c>
      <c r="D61" s="56">
        <v>99.9</v>
      </c>
      <c r="E61" s="17">
        <f t="shared" si="2"/>
        <v>5490</v>
      </c>
      <c r="F61" s="54">
        <f t="shared" si="3"/>
        <v>114.88499999999999</v>
      </c>
      <c r="G61" s="84" t="str">
        <f>+VLOOKUP($A61,'[1]STYLE NAMES'!$B:$O,2,FALSE)</f>
        <v>SUEDE SADDLE PAD</v>
      </c>
    </row>
    <row r="62" spans="1:7" x14ac:dyDescent="0.2">
      <c r="A62" s="55" t="s">
        <v>2</v>
      </c>
      <c r="B62" s="12" t="str">
        <f>+VLOOKUP($A62,'[1]STYLE NAMES'!$B:$O,4,FALSE)</f>
        <v>HORSE</v>
      </c>
      <c r="C62" s="12" t="str">
        <f>+VLOOKUP($A62,'[1]STYLE NAMES'!$B:$O,14,FALSE)</f>
        <v>YAĞMUR GEÇİRMEZ ÇALIŞMA BLANKETİ</v>
      </c>
      <c r="D62" s="56">
        <v>99.9</v>
      </c>
      <c r="E62" s="17">
        <f t="shared" si="2"/>
        <v>5490</v>
      </c>
      <c r="F62" s="54">
        <f t="shared" si="3"/>
        <v>114.88499999999999</v>
      </c>
      <c r="G62" s="84" t="str">
        <f>+VLOOKUP($A62,'[1]STYLE NAMES'!$B:$O,2,FALSE)</f>
        <v>RAINPROOF EXERCISE SHEET</v>
      </c>
    </row>
    <row r="63" spans="1:7" x14ac:dyDescent="0.2">
      <c r="A63" s="55" t="s">
        <v>99</v>
      </c>
      <c r="B63" s="12" t="str">
        <f>+VLOOKUP($A63,'[1]STYLE NAMES'!$B:$O,4,FALSE)</f>
        <v>HORSE</v>
      </c>
      <c r="C63" s="12" t="str">
        <f>+VLOOKUP($A63,'[1]STYLE NAMES'!$B:$O,14,FALSE)</f>
        <v>PONY YAĞMUR GEÇİRMEZ ÇALIŞMA BLANKETİ</v>
      </c>
      <c r="D63" s="56">
        <v>99.9</v>
      </c>
      <c r="E63" s="17">
        <f t="shared" si="2"/>
        <v>5490</v>
      </c>
      <c r="F63" s="54">
        <f t="shared" si="3"/>
        <v>114.88499999999999</v>
      </c>
      <c r="G63" s="84" t="str">
        <f>+VLOOKUP($A63,'[1]STYLE NAMES'!$B:$O,2,FALSE)</f>
        <v>RAINPROOF EXERCISE SHEET</v>
      </c>
    </row>
    <row r="64" spans="1:7" x14ac:dyDescent="0.2">
      <c r="A64" s="55" t="s">
        <v>8</v>
      </c>
      <c r="B64" s="12" t="str">
        <f>+VLOOKUP($A64,'[1]STYLE NAMES'!$B:$O,4,FALSE)</f>
        <v>HORSE</v>
      </c>
      <c r="C64" s="12" t="str">
        <f>+VLOOKUP($A64,'[1]STYLE NAMES'!$B:$O,14,FALSE)</f>
        <v>YAKALI POLAR BLANKET</v>
      </c>
      <c r="D64" s="56">
        <v>99.9</v>
      </c>
      <c r="E64" s="17">
        <f t="shared" si="2"/>
        <v>5490</v>
      </c>
      <c r="F64" s="54">
        <f t="shared" si="3"/>
        <v>114.88499999999999</v>
      </c>
      <c r="G64" s="84" t="str">
        <f>+VLOOKUP($A64,'[1]STYLE NAMES'!$B:$O,2,FALSE)</f>
        <v>FLEECE BLANKET WITH COLLAR</v>
      </c>
    </row>
    <row r="65" spans="1:7" x14ac:dyDescent="0.2">
      <c r="A65" s="55" t="s">
        <v>96</v>
      </c>
      <c r="B65" s="12" t="str">
        <f>+VLOOKUP($A65,'[1]STYLE NAMES'!$B:$O,4,FALSE)</f>
        <v>HORSE</v>
      </c>
      <c r="C65" s="12" t="str">
        <f>+VLOOKUP($A65,'[1]STYLE NAMES'!$B:$O,14,FALSE)</f>
        <v>YAKALI PONY POLAR BLANKET</v>
      </c>
      <c r="D65" s="56">
        <v>99.9</v>
      </c>
      <c r="E65" s="17">
        <f t="shared" si="2"/>
        <v>5490</v>
      </c>
      <c r="F65" s="54">
        <f t="shared" si="3"/>
        <v>114.88499999999999</v>
      </c>
      <c r="G65" s="84" t="str">
        <f>+VLOOKUP($A65,'[1]STYLE NAMES'!$B:$O,2,FALSE)</f>
        <v>FLEECE BLANKET WITH COLLAR</v>
      </c>
    </row>
    <row r="66" spans="1:7" x14ac:dyDescent="0.2">
      <c r="A66" s="55" t="s">
        <v>10</v>
      </c>
      <c r="B66" s="12" t="str">
        <f>+VLOOKUP($A66,'[1]STYLE NAMES'!$B:$O,4,FALSE)</f>
        <v>HORSE</v>
      </c>
      <c r="C66" s="12" t="str">
        <f>+VLOOKUP($A66,'[1]STYLE NAMES'!$B:$O,14,FALSE)</f>
        <v>ÇİFT RENK POLAR BLANKET</v>
      </c>
      <c r="D66" s="56">
        <v>99.9</v>
      </c>
      <c r="E66" s="17">
        <f t="shared" si="2"/>
        <v>5490</v>
      </c>
      <c r="F66" s="54">
        <f t="shared" si="3"/>
        <v>114.88499999999999</v>
      </c>
      <c r="G66" s="84" t="str">
        <f>+VLOOKUP($A66,'[1]STYLE NAMES'!$B:$O,2,FALSE)</f>
        <v>TWO COLOR FLEECE BLANKET</v>
      </c>
    </row>
    <row r="67" spans="1:7" x14ac:dyDescent="0.2">
      <c r="A67" s="55" t="s">
        <v>98</v>
      </c>
      <c r="B67" s="12" t="str">
        <f>+VLOOKUP($A67,'[1]STYLE NAMES'!$B:$O,4,FALSE)</f>
        <v>HORSE</v>
      </c>
      <c r="C67" s="12" t="str">
        <f>+VLOOKUP($A67,'[1]STYLE NAMES'!$B:$O,14,FALSE)</f>
        <v>ÇİFT RENK PONY POLAR BLANKET</v>
      </c>
      <c r="D67" s="56">
        <v>99.9</v>
      </c>
      <c r="E67" s="17">
        <f t="shared" ref="E67:E103" si="4">ROUNDDOWN(+D67*EURKUR,-1)</f>
        <v>5490</v>
      </c>
      <c r="F67" s="54">
        <f t="shared" ref="F67:F103" si="5">+D67*$F$1</f>
        <v>114.88499999999999</v>
      </c>
      <c r="G67" s="84" t="str">
        <f>+VLOOKUP($A67,'[1]STYLE NAMES'!$B:$O,2,FALSE)</f>
        <v>TWO COLOR FLEECE BLANKET</v>
      </c>
    </row>
    <row r="68" spans="1:7" x14ac:dyDescent="0.2">
      <c r="A68" s="55" t="s">
        <v>33</v>
      </c>
      <c r="B68" s="12" t="str">
        <f>+VLOOKUP($A68,'[1]STYLE NAMES'!$B:$O,4,FALSE)</f>
        <v>RIDER</v>
      </c>
      <c r="C68" s="12" t="str">
        <f>+VLOOKUP($A68,'[1]STYLE NAMES'!$B:$O,14,FALSE)</f>
        <v>ÇOCUK POLAR HIRKA</v>
      </c>
      <c r="D68" s="56">
        <v>99.9</v>
      </c>
      <c r="E68" s="17">
        <f t="shared" si="4"/>
        <v>5490</v>
      </c>
      <c r="F68" s="54">
        <f t="shared" si="5"/>
        <v>114.88499999999999</v>
      </c>
      <c r="G68" s="84" t="str">
        <f>+VLOOKUP($A68,'[1]STYLE NAMES'!$B:$O,2,FALSE)</f>
        <v>KID'S FLEECE JUMPER</v>
      </c>
    </row>
    <row r="69" spans="1:7" x14ac:dyDescent="0.2">
      <c r="A69" s="55" t="s">
        <v>53</v>
      </c>
      <c r="B69" s="12" t="str">
        <f>+VLOOKUP($A69,'[1]STYLE NAMES'!$B:$O,4,FALSE)</f>
        <v>RIDER</v>
      </c>
      <c r="C69" s="12" t="str">
        <f>+VLOOKUP($A69,'[1]STYLE NAMES'!$B:$O,14,FALSE)</f>
        <v>KADIN UZUN KOL FERMUARLI T-SHIRT</v>
      </c>
      <c r="D69" s="56">
        <v>99.9</v>
      </c>
      <c r="E69" s="17">
        <f t="shared" si="4"/>
        <v>5490</v>
      </c>
      <c r="F69" s="54">
        <f t="shared" si="5"/>
        <v>114.88499999999999</v>
      </c>
      <c r="G69" s="84" t="str">
        <f>+VLOOKUP($A69,'[1]STYLE NAMES'!$B:$O,2,FALSE)</f>
        <v>WOMEN'S LONG SLEEVE BASE LAYER QUARTER ZIP</v>
      </c>
    </row>
    <row r="70" spans="1:7" x14ac:dyDescent="0.2">
      <c r="A70" s="55" t="s">
        <v>153</v>
      </c>
      <c r="B70" s="12" t="str">
        <f>+VLOOKUP($A70,'[1]STYLE NAMES'!$B:$O,4,FALSE)</f>
        <v>RIDER</v>
      </c>
      <c r="C70" s="12" t="str">
        <f>+VLOOKUP($A70,'[1]STYLE NAMES'!$B:$O,14,FALSE)</f>
        <v>STRASS TAŞ DETAYLI KADIN UZUN KOL FERMUARLI T-SHIRT</v>
      </c>
      <c r="D70" s="56">
        <v>119.9</v>
      </c>
      <c r="E70" s="17">
        <f t="shared" si="4"/>
        <v>6590</v>
      </c>
      <c r="F70" s="54">
        <f t="shared" si="5"/>
        <v>137.88499999999999</v>
      </c>
      <c r="G70" s="84" t="str">
        <f>+VLOOKUP($A70,'[1]STYLE NAMES'!$B:$O,2,FALSE)</f>
        <v>WOMEN'S LONG SLEEVE BASE LAYER QUARTER ZIP WITH STRASS</v>
      </c>
    </row>
    <row r="71" spans="1:7" x14ac:dyDescent="0.2">
      <c r="A71" s="55" t="s">
        <v>31</v>
      </c>
      <c r="B71" s="12" t="str">
        <f>+VLOOKUP($A71,'[1]STYLE NAMES'!$B:$O,4,FALSE)</f>
        <v>RIDER</v>
      </c>
      <c r="C71" s="12" t="str">
        <f>+VLOOKUP($A71,'[1]STYLE NAMES'!$B:$O,14,FALSE)</f>
        <v>ERKEK ŞİŞME YELEK</v>
      </c>
      <c r="D71" s="56">
        <v>99.9</v>
      </c>
      <c r="E71" s="17">
        <f t="shared" si="4"/>
        <v>5490</v>
      </c>
      <c r="F71" s="54">
        <f t="shared" si="5"/>
        <v>114.88499999999999</v>
      </c>
      <c r="G71" s="84" t="str">
        <f>+VLOOKUP($A71,'[1]STYLE NAMES'!$B:$O,2,FALSE)</f>
        <v>MEN'S PUFFER VEST</v>
      </c>
    </row>
    <row r="72" spans="1:7" x14ac:dyDescent="0.2">
      <c r="A72" s="55" t="s">
        <v>32</v>
      </c>
      <c r="B72" s="12" t="str">
        <f>+VLOOKUP($A72,'[1]STYLE NAMES'!$B:$O,4,FALSE)</f>
        <v>RIDER</v>
      </c>
      <c r="C72" s="12" t="str">
        <f>+VLOOKUP($A72,'[1]STYLE NAMES'!$B:$O,14,FALSE)</f>
        <v>KADIN ŞİŞME YELEK</v>
      </c>
      <c r="D72" s="56">
        <v>99.9</v>
      </c>
      <c r="E72" s="17">
        <f t="shared" si="4"/>
        <v>5490</v>
      </c>
      <c r="F72" s="54">
        <f t="shared" si="5"/>
        <v>114.88499999999999</v>
      </c>
      <c r="G72" s="84" t="str">
        <f>+VLOOKUP($A72,'[1]STYLE NAMES'!$B:$O,2,FALSE)</f>
        <v>WOMEN'S PUFFER VEST</v>
      </c>
    </row>
    <row r="73" spans="1:7" x14ac:dyDescent="0.2">
      <c r="A73" s="55" t="s">
        <v>34</v>
      </c>
      <c r="B73" s="12" t="str">
        <f>+VLOOKUP($A73,'[1]STYLE NAMES'!$B:$O,4,FALSE)</f>
        <v>RIDER</v>
      </c>
      <c r="C73" s="12" t="str">
        <f>+VLOOKUP($A73,'[1]STYLE NAMES'!$B:$O,14,FALSE)</f>
        <v>ERKEK POLAR HIRKA</v>
      </c>
      <c r="D73" s="56">
        <v>99.9</v>
      </c>
      <c r="E73" s="17">
        <f t="shared" si="4"/>
        <v>5490</v>
      </c>
      <c r="F73" s="54">
        <f t="shared" si="5"/>
        <v>114.88499999999999</v>
      </c>
      <c r="G73" s="84" t="str">
        <f>+VLOOKUP($A73,'[1]STYLE NAMES'!$B:$O,2,FALSE)</f>
        <v xml:space="preserve">MEN'S FLEECE JUMPER </v>
      </c>
    </row>
    <row r="74" spans="1:7" x14ac:dyDescent="0.2">
      <c r="A74" s="55" t="s">
        <v>44</v>
      </c>
      <c r="B74" s="12" t="str">
        <f>+VLOOKUP($A74,'[1]STYLE NAMES'!$B:$O,4,FALSE)</f>
        <v>RIDER</v>
      </c>
      <c r="C74" s="12" t="str">
        <f>+VLOOKUP($A74,'[1]STYLE NAMES'!$B:$O,14,FALSE)</f>
        <v>ERKEK UZUN KOL T-SHIRT</v>
      </c>
      <c r="D74" s="56">
        <v>99.9</v>
      </c>
      <c r="E74" s="17">
        <f t="shared" si="4"/>
        <v>5490</v>
      </c>
      <c r="F74" s="54">
        <f t="shared" si="5"/>
        <v>114.88499999999999</v>
      </c>
      <c r="G74" s="84" t="str">
        <f>+VLOOKUP($A74,'[1]STYLE NAMES'!$B:$O,2,FALSE)</f>
        <v xml:space="preserve">MEN'S LONG SLEEVE BASE LAYER </v>
      </c>
    </row>
    <row r="75" spans="1:7" x14ac:dyDescent="0.2">
      <c r="A75" s="55" t="s">
        <v>113</v>
      </c>
      <c r="B75" s="12" t="str">
        <f>+VLOOKUP($A75,'[1]STYLE NAMES'!$B:$O,4,FALSE)</f>
        <v>RIDER</v>
      </c>
      <c r="C75" s="12" t="str">
        <f>+VLOOKUP($A75,'[1]STYLE NAMES'!$B:$O,14,FALSE)</f>
        <v>KADIN KISA KOL YARIŞMA POLO X TEAM TÜRKİYE</v>
      </c>
      <c r="D75" s="56">
        <v>99.9</v>
      </c>
      <c r="E75" s="17">
        <f t="shared" si="4"/>
        <v>5490</v>
      </c>
      <c r="F75" s="54">
        <f t="shared" si="5"/>
        <v>114.88499999999999</v>
      </c>
      <c r="G75" s="84" t="str">
        <f>+VLOOKUP($A75,'[1]STYLE NAMES'!$B:$O,2,FALSE)</f>
        <v>WOMEN'S COMPETITION POLO SHORT SLEEVE X TEAM TÜRKİYE</v>
      </c>
    </row>
    <row r="76" spans="1:7" x14ac:dyDescent="0.2">
      <c r="A76" s="55" t="s">
        <v>114</v>
      </c>
      <c r="B76" s="12" t="str">
        <f>+VLOOKUP($A76,'[1]STYLE NAMES'!$B:$O,4,FALSE)</f>
        <v>RIDER</v>
      </c>
      <c r="C76" s="12" t="str">
        <f>+VLOOKUP($A76,'[1]STYLE NAMES'!$B:$O,14,FALSE)</f>
        <v>ERKEK KISA KOL YARIŞMA POLO X TEAM TÜRKİYE</v>
      </c>
      <c r="D76" s="56">
        <v>99.9</v>
      </c>
      <c r="E76" s="17">
        <f t="shared" si="4"/>
        <v>5490</v>
      </c>
      <c r="F76" s="54">
        <f t="shared" si="5"/>
        <v>114.88499999999999</v>
      </c>
      <c r="G76" s="84" t="str">
        <f>+VLOOKUP($A76,'[1]STYLE NAMES'!$B:$O,2,FALSE)</f>
        <v>MEN'S COMPETITION POLO SHORT SLEEVE X TEAM TÜRKİYE</v>
      </c>
    </row>
    <row r="77" spans="1:7" x14ac:dyDescent="0.2">
      <c r="A77" s="55" t="s">
        <v>45</v>
      </c>
      <c r="B77" s="12" t="str">
        <f>+VLOOKUP($A77,'[1]STYLE NAMES'!$B:$O,4,FALSE)</f>
        <v>RIDER</v>
      </c>
      <c r="C77" s="12" t="str">
        <f>+VLOOKUP($A77,'[1]STYLE NAMES'!$B:$O,14,FALSE)</f>
        <v>ERKEK UZUN KOL FERMUARLI T-SHIRT</v>
      </c>
      <c r="D77" s="56">
        <v>99.9</v>
      </c>
      <c r="E77" s="17">
        <f t="shared" si="4"/>
        <v>5490</v>
      </c>
      <c r="F77" s="54">
        <f t="shared" si="5"/>
        <v>114.88499999999999</v>
      </c>
      <c r="G77" s="84" t="str">
        <f>+VLOOKUP($A77,'[1]STYLE NAMES'!$B:$O,2,FALSE)</f>
        <v>MEN'S LONG SLEEVE BASE LAYER QUARTER ZIP</v>
      </c>
    </row>
    <row r="78" spans="1:7" x14ac:dyDescent="0.2">
      <c r="A78" s="55" t="s">
        <v>67</v>
      </c>
      <c r="B78" s="12" t="str">
        <f>+VLOOKUP($A78,'[1]STYLE NAMES'!$B:$O,4,FALSE)</f>
        <v>RIDER</v>
      </c>
      <c r="C78" s="12" t="str">
        <f>+VLOOKUP($A78,'[1]STYLE NAMES'!$B:$O,14,FALSE)</f>
        <v>KIZ ÇOCUK FULL GRIP PRO BİNİCİ TAYTI</v>
      </c>
      <c r="D78" s="56">
        <v>99.9</v>
      </c>
      <c r="E78" s="17">
        <f t="shared" si="4"/>
        <v>5490</v>
      </c>
      <c r="F78" s="54">
        <f t="shared" si="5"/>
        <v>114.88499999999999</v>
      </c>
      <c r="G78" s="84" t="str">
        <f>+VLOOKUP($A78,'[1]STYLE NAMES'!$B:$O,2,FALSE)</f>
        <v>GIRL'S FULL GRIP PRO LEGGINGS</v>
      </c>
    </row>
    <row r="79" spans="1:7" x14ac:dyDescent="0.2">
      <c r="A79" s="55" t="s">
        <v>35</v>
      </c>
      <c r="B79" s="12" t="str">
        <f>+VLOOKUP($A79,'[1]STYLE NAMES'!$B:$O,4,FALSE)</f>
        <v>RIDER</v>
      </c>
      <c r="C79" s="12" t="str">
        <f>+VLOOKUP($A79,'[1]STYLE NAMES'!$B:$O,14,FALSE)</f>
        <v>ERKEK SWEAT HIRKA</v>
      </c>
      <c r="D79" s="56">
        <v>99.9</v>
      </c>
      <c r="E79" s="17">
        <f t="shared" si="4"/>
        <v>5490</v>
      </c>
      <c r="F79" s="54">
        <f t="shared" si="5"/>
        <v>114.88499999999999</v>
      </c>
      <c r="G79" s="84" t="str">
        <f>+VLOOKUP($A79,'[1]STYLE NAMES'!$B:$O,2,FALSE)</f>
        <v>MEN'S SWEAT JUMPER</v>
      </c>
    </row>
    <row r="80" spans="1:7" x14ac:dyDescent="0.2">
      <c r="A80" s="55" t="s">
        <v>46</v>
      </c>
      <c r="B80" s="12" t="str">
        <f>+VLOOKUP($A80,'[1]STYLE NAMES'!$B:$O,4,FALSE)</f>
        <v>RIDER</v>
      </c>
      <c r="C80" s="12" t="str">
        <f>+VLOOKUP($A80,'[1]STYLE NAMES'!$B:$O,14,FALSE)</f>
        <v>ERKEK UZUN KOL T-SHIRT</v>
      </c>
      <c r="D80" s="56">
        <v>99.9</v>
      </c>
      <c r="E80" s="17">
        <f t="shared" si="4"/>
        <v>5490</v>
      </c>
      <c r="F80" s="54">
        <f t="shared" si="5"/>
        <v>114.88499999999999</v>
      </c>
      <c r="G80" s="84" t="str">
        <f>+VLOOKUP($A80,'[1]STYLE NAMES'!$B:$O,2,FALSE)</f>
        <v xml:space="preserve">MEN'S LONG SLEEVE BASE LAYER </v>
      </c>
    </row>
    <row r="81" spans="1:7" x14ac:dyDescent="0.2">
      <c r="A81" s="55" t="s">
        <v>54</v>
      </c>
      <c r="B81" s="12" t="str">
        <f>+VLOOKUP($A81,'[1]STYLE NAMES'!$B:$O,4,FALSE)</f>
        <v>RIDER</v>
      </c>
      <c r="C81" s="12" t="str">
        <f>+VLOOKUP($A81,'[1]STYLE NAMES'!$B:$O,14,FALSE)</f>
        <v>KADIN UZUN KOL YARIŞMA POLO</v>
      </c>
      <c r="D81" s="56">
        <v>99.9</v>
      </c>
      <c r="E81" s="17">
        <f t="shared" si="4"/>
        <v>5490</v>
      </c>
      <c r="F81" s="54">
        <f t="shared" si="5"/>
        <v>114.88499999999999</v>
      </c>
      <c r="G81" s="84" t="str">
        <f>+VLOOKUP($A81,'[1]STYLE NAMES'!$B:$O,2,FALSE)</f>
        <v>WOMEN'S COMPETITION POLO LONG SLEEVE</v>
      </c>
    </row>
    <row r="82" spans="1:7" x14ac:dyDescent="0.2">
      <c r="A82" s="55" t="s">
        <v>47</v>
      </c>
      <c r="B82" s="12" t="str">
        <f>+VLOOKUP($A82,'[1]STYLE NAMES'!$B:$O,4,FALSE)</f>
        <v>RIDER</v>
      </c>
      <c r="C82" s="12" t="str">
        <f>+VLOOKUP($A82,'[1]STYLE NAMES'!$B:$O,14,FALSE)</f>
        <v>ERKEK UZUN KOL YARIŞMA POLO</v>
      </c>
      <c r="D82" s="56">
        <v>99.9</v>
      </c>
      <c r="E82" s="17">
        <f t="shared" si="4"/>
        <v>5490</v>
      </c>
      <c r="F82" s="54">
        <f t="shared" si="5"/>
        <v>114.88499999999999</v>
      </c>
      <c r="G82" s="84" t="str">
        <f>+VLOOKUP($A82,'[1]STYLE NAMES'!$B:$O,2,FALSE)</f>
        <v>MEN'S COMPETITION POLO LONG SLEEVE</v>
      </c>
    </row>
    <row r="83" spans="1:7" x14ac:dyDescent="0.2">
      <c r="A83" s="55" t="s">
        <v>48</v>
      </c>
      <c r="B83" s="12" t="str">
        <f>+VLOOKUP($A83,'[1]STYLE NAMES'!$B:$O,4,FALSE)</f>
        <v>RIDER</v>
      </c>
      <c r="C83" s="12" t="str">
        <f>+VLOOKUP($A83,'[1]STYLE NAMES'!$B:$O,14,FALSE)</f>
        <v>ERKEK UZUN KOL YARIŞMA POLO</v>
      </c>
      <c r="D83" s="56">
        <v>99.9</v>
      </c>
      <c r="E83" s="17">
        <f t="shared" si="4"/>
        <v>5490</v>
      </c>
      <c r="F83" s="54">
        <f t="shared" si="5"/>
        <v>114.88499999999999</v>
      </c>
      <c r="G83" s="84" t="str">
        <f>+VLOOKUP($A83,'[1]STYLE NAMES'!$B:$O,2,FALSE)</f>
        <v>MEN'S COMPETITION POLO LONG SLEEVE</v>
      </c>
    </row>
    <row r="84" spans="1:7" x14ac:dyDescent="0.2">
      <c r="A84" s="55" t="s">
        <v>83</v>
      </c>
      <c r="B84" s="12" t="str">
        <f>+VLOOKUP($A84,'[1]STYLE NAMES'!$B:$O,4,FALSE)</f>
        <v>RIDER</v>
      </c>
      <c r="C84" s="12" t="str">
        <f>+VLOOKUP($A84,'[1]STYLE NAMES'!$B:$O,14,FALSE)</f>
        <v>KADIN KISA KOL YARIŞMA POLO</v>
      </c>
      <c r="D84" s="56">
        <v>99.9</v>
      </c>
      <c r="E84" s="17">
        <f t="shared" si="4"/>
        <v>5490</v>
      </c>
      <c r="F84" s="54">
        <f t="shared" si="5"/>
        <v>114.88499999999999</v>
      </c>
      <c r="G84" s="84" t="str">
        <f>+VLOOKUP($A84,'[1]STYLE NAMES'!$B:$O,2,FALSE)</f>
        <v>WOMEN'S COMPETITION POLO SHORT SLEEVE</v>
      </c>
    </row>
    <row r="85" spans="1:7" x14ac:dyDescent="0.2">
      <c r="A85" s="55" t="s">
        <v>66</v>
      </c>
      <c r="B85" s="12" t="str">
        <f>+VLOOKUP($A85,'[1]STYLE NAMES'!$B:$O,4,FALSE)</f>
        <v>RIDER</v>
      </c>
      <c r="C85" s="12" t="str">
        <f>+VLOOKUP($A85,'[1]STYLE NAMES'!$B:$O,14,FALSE)</f>
        <v>KADIN FULL GRIP PRO BİNİCİ TAYTI</v>
      </c>
      <c r="D85" s="56">
        <v>109.9</v>
      </c>
      <c r="E85" s="17">
        <f t="shared" si="4"/>
        <v>6040</v>
      </c>
      <c r="F85" s="54">
        <f t="shared" si="5"/>
        <v>126.38499999999999</v>
      </c>
      <c r="G85" s="84" t="str">
        <f>+VLOOKUP($A85,'[1]STYLE NAMES'!$B:$O,2,FALSE)</f>
        <v>WOMEN'S FULL GRIP PRO LEGGINGS</v>
      </c>
    </row>
    <row r="86" spans="1:7" x14ac:dyDescent="0.2">
      <c r="A86" s="55" t="s">
        <v>138</v>
      </c>
      <c r="B86" s="12" t="str">
        <f>+VLOOKUP($A86,'[1]STYLE NAMES'!$B:$O,4,FALSE)</f>
        <v>RIDER</v>
      </c>
      <c r="C86" s="12" t="str">
        <f>+VLOOKUP($A86,'[1]STYLE NAMES'!$B:$O,14,FALSE)</f>
        <v>KADIN UZUN KOL YARIŞMA POLO X TEAM TÜRKİYE</v>
      </c>
      <c r="D86" s="56">
        <v>109.9</v>
      </c>
      <c r="E86" s="17">
        <f t="shared" si="4"/>
        <v>6040</v>
      </c>
      <c r="F86" s="54">
        <f t="shared" si="5"/>
        <v>126.38499999999999</v>
      </c>
      <c r="G86" s="84" t="str">
        <f>+VLOOKUP($A86,'[1]STYLE NAMES'!$B:$O,2,FALSE)</f>
        <v>WOMEN'S COMPETITION POLO LONG SLEEVE X TEAM TÜRKİYE</v>
      </c>
    </row>
    <row r="87" spans="1:7" x14ac:dyDescent="0.2">
      <c r="A87" s="55" t="s">
        <v>139</v>
      </c>
      <c r="B87" s="12" t="str">
        <f>+VLOOKUP($A87,'[1]STYLE NAMES'!$B:$O,4,FALSE)</f>
        <v>RIDER</v>
      </c>
      <c r="C87" s="12" t="str">
        <f>+VLOOKUP($A87,'[1]STYLE NAMES'!$B:$O,14,FALSE)</f>
        <v>ERKEK UZUN KOL YARIŞMA POLO X TEAM TÜRKİYE</v>
      </c>
      <c r="D87" s="56">
        <v>109.9</v>
      </c>
      <c r="E87" s="17">
        <f t="shared" si="4"/>
        <v>6040</v>
      </c>
      <c r="F87" s="54">
        <f t="shared" si="5"/>
        <v>126.38499999999999</v>
      </c>
      <c r="G87" s="84" t="str">
        <f>+VLOOKUP($A87,'[1]STYLE NAMES'!$B:$O,2,FALSE)</f>
        <v>MEN'S COMPETITION POLO LONG SLEEVE X TEAM TÜRKİYE</v>
      </c>
    </row>
    <row r="88" spans="1:7" x14ac:dyDescent="0.2">
      <c r="A88" s="55" t="s">
        <v>82</v>
      </c>
      <c r="B88" s="12" t="str">
        <f>+VLOOKUP($A88,'[1]STYLE NAMES'!$B:$O,4,FALSE)</f>
        <v>RIDER</v>
      </c>
      <c r="C88" s="12" t="str">
        <f>+VLOOKUP($A88,'[1]STYLE NAMES'!$B:$O,14,FALSE)</f>
        <v>STRASS TAŞ DETAYLI KADIN KISA KOL YARIŞMA POLO</v>
      </c>
      <c r="D88" s="56">
        <v>109.9</v>
      </c>
      <c r="E88" s="17">
        <f t="shared" si="4"/>
        <v>6040</v>
      </c>
      <c r="F88" s="54">
        <f t="shared" si="5"/>
        <v>126.38499999999999</v>
      </c>
      <c r="G88" s="84" t="str">
        <f>+VLOOKUP($A88,'[1]STYLE NAMES'!$B:$O,2,FALSE)</f>
        <v>WOMEN'S COMPETITION POLO SHORT SLEEVE</v>
      </c>
    </row>
    <row r="89" spans="1:7" x14ac:dyDescent="0.2">
      <c r="A89" s="55" t="s">
        <v>51</v>
      </c>
      <c r="B89" s="12" t="str">
        <f>+VLOOKUP($A89,'[1]STYLE NAMES'!$B:$O,4,FALSE)</f>
        <v>RIDER</v>
      </c>
      <c r="C89" s="12" t="str">
        <f>+VLOOKUP($A89,'[1]STYLE NAMES'!$B:$O,14,FALSE)</f>
        <v>ERKEK UZUN KOL YARIŞMA GÖMLEĞİ - DÜĞMELİ YAKA</v>
      </c>
      <c r="D89" s="56">
        <v>129.9</v>
      </c>
      <c r="E89" s="17">
        <f t="shared" si="4"/>
        <v>7140</v>
      </c>
      <c r="F89" s="54">
        <f t="shared" si="5"/>
        <v>149.38499999999999</v>
      </c>
      <c r="G89" s="84" t="str">
        <f>+VLOOKUP($A89,'[1]STYLE NAMES'!$B:$O,2,FALSE)</f>
        <v>MEN'S COMPETITION SHIRT LONG SLEEVE B.D. COLLAR</v>
      </c>
    </row>
    <row r="90" spans="1:7" x14ac:dyDescent="0.2">
      <c r="A90" s="55" t="s">
        <v>143</v>
      </c>
      <c r="B90" s="12" t="str">
        <f>+VLOOKUP($A90,'[1]STYLE NAMES'!$B:$O,4,FALSE)</f>
        <v>RIDER</v>
      </c>
      <c r="C90" s="12" t="str">
        <f>+VLOOKUP($A90,'[1]STYLE NAMES'!$B:$O,14,FALSE)</f>
        <v>KADIN UZUN KOL CASUAL GÖMLEK</v>
      </c>
      <c r="D90" s="56">
        <v>129.9</v>
      </c>
      <c r="E90" s="17">
        <f t="shared" si="4"/>
        <v>7140</v>
      </c>
      <c r="F90" s="54">
        <f t="shared" si="5"/>
        <v>149.38499999999999</v>
      </c>
      <c r="G90" s="84" t="str">
        <f>+VLOOKUP($A90,'[1]STYLE NAMES'!$B:$O,2,FALSE)</f>
        <v>WOMEN'S LONG SLEEVE CASUAL SHIRT</v>
      </c>
    </row>
    <row r="91" spans="1:7" x14ac:dyDescent="0.2">
      <c r="A91" s="55" t="s">
        <v>56</v>
      </c>
      <c r="B91" s="12" t="str">
        <f>+VLOOKUP($A91,'[1]STYLE NAMES'!$B:$O,4,FALSE)</f>
        <v>RIDER</v>
      </c>
      <c r="C91" s="12" t="str">
        <f>+VLOOKUP($A91,'[1]STYLE NAMES'!$B:$O,14,FALSE)</f>
        <v>KADIN ÖN PANELLİ YARIŞMA GÖMLEĞİ</v>
      </c>
      <c r="D91" s="56">
        <v>129.9</v>
      </c>
      <c r="E91" s="17">
        <f t="shared" si="4"/>
        <v>7140</v>
      </c>
      <c r="F91" s="54">
        <f t="shared" si="5"/>
        <v>149.38499999999999</v>
      </c>
      <c r="G91" s="84" t="str">
        <f>+VLOOKUP($A91,'[1]STYLE NAMES'!$B:$O,2,FALSE)</f>
        <v>WOMEN'S COMPETITION SHIRT BIB PANEL</v>
      </c>
    </row>
    <row r="92" spans="1:7" x14ac:dyDescent="0.2">
      <c r="A92" s="55" t="s">
        <v>151</v>
      </c>
      <c r="B92" s="12" t="str">
        <f>+VLOOKUP(A92,'[1]STYLE NAMES'!$B:$O,4,FALSE)</f>
        <v>RIDER</v>
      </c>
      <c r="C92" s="12" t="str">
        <f>+VLOOKUP($A92,'[1]STYLE NAMES'!$B:$O,14,FALSE)</f>
        <v>KADIN OVERSIZE CASUAL GÖMLEK</v>
      </c>
      <c r="D92" s="56">
        <v>129.9</v>
      </c>
      <c r="E92" s="17">
        <f t="shared" ref="E92" si="6">ROUNDDOWN(+D92*EURKUR,-1)</f>
        <v>7140</v>
      </c>
      <c r="F92" s="54">
        <f t="shared" ref="F92" si="7">+D92*$F$1</f>
        <v>149.38499999999999</v>
      </c>
      <c r="G92" s="84" t="str">
        <f>+VLOOKUP($A92,'[1]STYLE NAMES'!$B:$O,2,FALSE)</f>
        <v>WOMEN'S OVERSIZE CASUAL SHIRT</v>
      </c>
    </row>
    <row r="93" spans="1:7" x14ac:dyDescent="0.2">
      <c r="A93" s="55" t="s">
        <v>140</v>
      </c>
      <c r="B93" s="12" t="str">
        <f>+VLOOKUP(A93,'[1]STYLE NAMES'!$B:$O,4,FALSE)</f>
        <v>RIDER</v>
      </c>
      <c r="C93" s="12" t="str">
        <f>+VLOOKUP($A93,'[1]STYLE NAMES'!$B:$O,14,FALSE)</f>
        <v>ERKEK UZUN KOL YARIŞMA GÖMLEĞİ - AÇIK YAKA</v>
      </c>
      <c r="D93" s="56">
        <v>129.9</v>
      </c>
      <c r="E93" s="17">
        <f t="shared" si="4"/>
        <v>7140</v>
      </c>
      <c r="F93" s="54">
        <f t="shared" si="5"/>
        <v>149.38499999999999</v>
      </c>
      <c r="G93" s="84" t="str">
        <f>+VLOOKUP($A93,'[1]STYLE NAMES'!$B:$O,2,FALSE)</f>
        <v>MEN'S COMPETITION SHIRT LONG SLEEVE SPREAD COLLAR</v>
      </c>
    </row>
    <row r="94" spans="1:7" x14ac:dyDescent="0.2">
      <c r="A94" s="55" t="s">
        <v>142</v>
      </c>
      <c r="B94" s="12" t="str">
        <f>+VLOOKUP(A94,'[1]STYLE NAMES'!$B:$O,4,FALSE)</f>
        <v>RIDER</v>
      </c>
      <c r="C94" s="12" t="str">
        <f>+VLOOKUP($A94,'[1]STYLE NAMES'!$B:$O,14,FALSE)</f>
        <v>ERKEK UZUN KOL YARIŞMA GÖMLEĞİ - AÇIK YAKA</v>
      </c>
      <c r="D94" s="56">
        <v>129.9</v>
      </c>
      <c r="E94" s="17">
        <f t="shared" si="4"/>
        <v>7140</v>
      </c>
      <c r="F94" s="54">
        <f t="shared" si="5"/>
        <v>149.38499999999999</v>
      </c>
      <c r="G94" s="84" t="str">
        <f>+VLOOKUP($A94,'[1]STYLE NAMES'!$B:$O,2,FALSE)</f>
        <v>MEN'S COMPETITION SHIRT LONG SLEEVE SPREAD COLLAR</v>
      </c>
    </row>
    <row r="95" spans="1:7" x14ac:dyDescent="0.2">
      <c r="A95" s="55" t="s">
        <v>65</v>
      </c>
      <c r="B95" s="12" t="str">
        <f>+VLOOKUP(A95,'[1]STYLE NAMES'!$B:$O,4,FALSE)</f>
        <v>RIDER</v>
      </c>
      <c r="C95" s="12" t="str">
        <f>+VLOOKUP($A95,'[1]STYLE NAMES'!$B:$O,14,FALSE)</f>
        <v>ÇOCUK UNISEX BİNİCİ PANTOLONU</v>
      </c>
      <c r="D95" s="56">
        <v>159.9</v>
      </c>
      <c r="E95" s="17">
        <f t="shared" si="4"/>
        <v>8790</v>
      </c>
      <c r="F95" s="54">
        <f t="shared" si="5"/>
        <v>183.88499999999999</v>
      </c>
      <c r="G95" s="84" t="str">
        <f>+VLOOKUP($A95,'[1]STYLE NAMES'!$B:$O,2,FALSE)</f>
        <v>KID'S UNISEX KNEE GRIP PRO BREECHES</v>
      </c>
    </row>
    <row r="96" spans="1:7" x14ac:dyDescent="0.2">
      <c r="A96" s="55" t="s">
        <v>148</v>
      </c>
      <c r="B96" s="12" t="str">
        <f>+VLOOKUP(A96,'[1]STYLE NAMES'!$B:$O,4,FALSE)</f>
        <v>RIDER</v>
      </c>
      <c r="C96" s="12" t="str">
        <f>+VLOOKUP($A96,'[1]STYLE NAMES'!$B:$O,14,FALSE)</f>
        <v>KIŞLIK ÇOCUK UNISEX BİNİCİ PANTOLONU</v>
      </c>
      <c r="D96" s="56">
        <v>169.9</v>
      </c>
      <c r="E96" s="17">
        <f t="shared" si="4"/>
        <v>9340</v>
      </c>
      <c r="F96" s="54">
        <f t="shared" ref="F96" si="8">+D96*$F$1</f>
        <v>195.38499999999999</v>
      </c>
      <c r="G96" s="84" t="str">
        <f>+VLOOKUP($A96,'[1]STYLE NAMES'!$B:$O,2,FALSE)</f>
        <v>KID'S UNISEX KNEE GRIP PRO WINTER BREECHES</v>
      </c>
    </row>
    <row r="97" spans="1:7" x14ac:dyDescent="0.2">
      <c r="A97" s="55" t="s">
        <v>109</v>
      </c>
      <c r="B97" s="12" t="str">
        <f>+VLOOKUP(A97,'[1]STYLE NAMES'!$B:$O,4,FALSE)</f>
        <v>HORSE</v>
      </c>
      <c r="C97" s="12" t="str">
        <f>+VLOOKUP($A97,'[1]STYLE NAMES'!$B:$O,14,FALSE)</f>
        <v>MEVSİMLİK AHIR BLANKETİ</v>
      </c>
      <c r="D97" s="56">
        <v>189.9</v>
      </c>
      <c r="E97" s="17">
        <f t="shared" si="4"/>
        <v>10440</v>
      </c>
      <c r="F97" s="54">
        <f t="shared" si="5"/>
        <v>218.38499999999999</v>
      </c>
      <c r="G97" s="84" t="str">
        <f>+VLOOKUP($A97,'[1]STYLE NAMES'!$B:$O,2,FALSE)</f>
        <v>SEASONAL STABLE RUG</v>
      </c>
    </row>
    <row r="98" spans="1:7" x14ac:dyDescent="0.2">
      <c r="A98" s="55" t="s">
        <v>108</v>
      </c>
      <c r="B98" s="12" t="str">
        <f>+VLOOKUP(A98,'[1]STYLE NAMES'!$B:$O,4,FALSE)</f>
        <v>HORSE</v>
      </c>
      <c r="C98" s="12" t="str">
        <f>+VLOOKUP($A98,'[1]STYLE NAMES'!$B:$O,14,FALSE)</f>
        <v>MEVSİMLİK PONY AHIR BLANKETİ</v>
      </c>
      <c r="D98" s="56">
        <v>189.9</v>
      </c>
      <c r="E98" s="17">
        <f t="shared" si="4"/>
        <v>10440</v>
      </c>
      <c r="F98" s="54">
        <f t="shared" si="5"/>
        <v>218.38499999999999</v>
      </c>
      <c r="G98" s="84" t="str">
        <f>+VLOOKUP($A98,'[1]STYLE NAMES'!$B:$O,2,FALSE)</f>
        <v>SEASONAL STABLE RUG</v>
      </c>
    </row>
    <row r="99" spans="1:7" x14ac:dyDescent="0.2">
      <c r="A99" s="55" t="s">
        <v>64</v>
      </c>
      <c r="B99" s="12" t="str">
        <f>+VLOOKUP(A99,'[1]STYLE NAMES'!$B:$O,4,FALSE)</f>
        <v>RIDER</v>
      </c>
      <c r="C99" s="12" t="str">
        <f>+VLOOKUP($A99,'[1]STYLE NAMES'!$B:$O,14,FALSE)</f>
        <v>KADIN PRO BİNİCİ PANTOLONU</v>
      </c>
      <c r="D99" s="56">
        <v>219.9</v>
      </c>
      <c r="E99" s="17">
        <f t="shared" si="4"/>
        <v>12090</v>
      </c>
      <c r="F99" s="54">
        <f t="shared" si="5"/>
        <v>252.88499999999999</v>
      </c>
      <c r="G99" s="84" t="str">
        <f>+VLOOKUP($A99,'[1]STYLE NAMES'!$B:$O,2,FALSE)</f>
        <v>WOMEN'S KNEE GRIP PRO BREECHES</v>
      </c>
    </row>
    <row r="100" spans="1:7" x14ac:dyDescent="0.2">
      <c r="A100" s="55" t="s">
        <v>149</v>
      </c>
      <c r="B100" s="12" t="str">
        <f>+VLOOKUP(A100,'[1]STYLE NAMES'!$B:$O,4,FALSE)</f>
        <v>RIDER</v>
      </c>
      <c r="C100" s="12" t="str">
        <f>+VLOOKUP($A100,'[1]STYLE NAMES'!$B:$O,14,FALSE)</f>
        <v>KIŞLIK KADIN PRO BİNİCİ PANTOLONU</v>
      </c>
      <c r="D100" s="56">
        <v>229.9</v>
      </c>
      <c r="E100" s="17">
        <f t="shared" si="4"/>
        <v>12640</v>
      </c>
      <c r="F100" s="54">
        <f t="shared" ref="F100" si="9">+D100*$F$1</f>
        <v>264.38499999999999</v>
      </c>
      <c r="G100" s="84" t="str">
        <f>+VLOOKUP($A100,'[1]STYLE NAMES'!$B:$O,2,FALSE)</f>
        <v>WOMEN'S KNEE GRIP PRO WINTER BREECHES</v>
      </c>
    </row>
    <row r="101" spans="1:7" x14ac:dyDescent="0.2">
      <c r="A101" s="55" t="s">
        <v>63</v>
      </c>
      <c r="B101" s="12" t="str">
        <f>+VLOOKUP(A101,'[1]STYLE NAMES'!$B:$O,4,FALSE)</f>
        <v>RIDER</v>
      </c>
      <c r="C101" s="12" t="str">
        <f>+VLOOKUP($A101,'[1]STYLE NAMES'!$B:$O,14,FALSE)</f>
        <v>ERKEK PRO BİNİCİ PANTOLONU</v>
      </c>
      <c r="D101" s="56">
        <v>219.9</v>
      </c>
      <c r="E101" s="17">
        <f t="shared" si="4"/>
        <v>12090</v>
      </c>
      <c r="F101" s="54">
        <f t="shared" si="5"/>
        <v>252.88499999999999</v>
      </c>
      <c r="G101" s="84" t="str">
        <f>+VLOOKUP($A101,'[1]STYLE NAMES'!$B:$O,2,FALSE)</f>
        <v>MEN'S KNEE GRIP PRO BREECHES</v>
      </c>
    </row>
    <row r="102" spans="1:7" x14ac:dyDescent="0.2">
      <c r="A102" s="55" t="s">
        <v>150</v>
      </c>
      <c r="B102" s="12" t="str">
        <f>+VLOOKUP(A102,'[1]STYLE NAMES'!$B:$O,4,FALSE)</f>
        <v>RIDER</v>
      </c>
      <c r="C102" s="12" t="str">
        <f>+VLOOKUP($A102,'[1]STYLE NAMES'!$B:$O,14,FALSE)</f>
        <v>KIŞLIK ERKEK PRO BİNİCİ PANTOLONU</v>
      </c>
      <c r="D102" s="56">
        <v>229.9</v>
      </c>
      <c r="E102" s="17">
        <f t="shared" si="4"/>
        <v>12640</v>
      </c>
      <c r="F102" s="54">
        <f t="shared" ref="F102" si="10">+D102*$F$1</f>
        <v>264.38499999999999</v>
      </c>
      <c r="G102" s="84" t="str">
        <f>+VLOOKUP($A102,'[1]STYLE NAMES'!$B:$O,2,FALSE)</f>
        <v>MEN'S KNEE GRIP PRO WINTER BREECHES</v>
      </c>
    </row>
    <row r="103" spans="1:7" x14ac:dyDescent="0.2">
      <c r="A103" s="55" t="s">
        <v>13</v>
      </c>
      <c r="B103" s="12" t="str">
        <f>+VLOOKUP(A103,'[1]STYLE NAMES'!$B:$O,4,FALSE)</f>
        <v>HORSE</v>
      </c>
      <c r="C103" s="12" t="str">
        <f>+VLOOKUP($A103,'[1]STYLE NAMES'!$B:$O,14,FALSE)</f>
        <v>KIŞLIK AHIR BLANKETİ</v>
      </c>
      <c r="D103" s="56">
        <v>249.9</v>
      </c>
      <c r="E103" s="17">
        <f t="shared" si="4"/>
        <v>13740</v>
      </c>
      <c r="F103" s="54">
        <f t="shared" si="5"/>
        <v>287.38499999999999</v>
      </c>
      <c r="G103" s="84" t="str">
        <f>+VLOOKUP($A103,'[1]STYLE NAMES'!$B:$O,2,FALSE)</f>
        <v>WINTER STABLE RUG</v>
      </c>
    </row>
    <row r="104" spans="1:7" x14ac:dyDescent="0.2">
      <c r="A104" s="55" t="s">
        <v>100</v>
      </c>
      <c r="B104" s="12" t="str">
        <f>+VLOOKUP(A104,'[1]STYLE NAMES'!$B:$O,4,FALSE)</f>
        <v>HORSE</v>
      </c>
      <c r="C104" s="12" t="str">
        <f>+VLOOKUP($A104,'[1]STYLE NAMES'!$B:$O,14,FALSE)</f>
        <v>PONY KIŞLIK AHIR BLANKETİ</v>
      </c>
      <c r="D104" s="56">
        <v>249.9</v>
      </c>
      <c r="E104" s="17">
        <f t="shared" ref="E104:E109" si="11">ROUNDDOWN(+D104*EURKUR,-1)</f>
        <v>13740</v>
      </c>
      <c r="F104" s="54">
        <f t="shared" ref="F104:F109" si="12">+D104*$F$1</f>
        <v>287.38499999999999</v>
      </c>
      <c r="G104" s="84" t="str">
        <f>+VLOOKUP($A104,'[1]STYLE NAMES'!$B:$O,2,FALSE)</f>
        <v>WINTER STABLE RUG</v>
      </c>
    </row>
    <row r="105" spans="1:7" x14ac:dyDescent="0.2">
      <c r="A105" s="55" t="s">
        <v>68</v>
      </c>
      <c r="B105" s="12" t="str">
        <f>+VLOOKUP(A105,'[1]STYLE NAMES'!$B:$O,4,FALSE)</f>
        <v>RIDER</v>
      </c>
      <c r="C105" s="12" t="str">
        <f>+VLOOKUP($A105,'[1]STYLE NAMES'!$B:$O,14,FALSE)</f>
        <v>ERKEK PRO YARIŞMA CEKETİ</v>
      </c>
      <c r="D105" s="56">
        <v>449.9</v>
      </c>
      <c r="E105" s="17">
        <f t="shared" si="11"/>
        <v>24740</v>
      </c>
      <c r="F105" s="54">
        <f t="shared" si="12"/>
        <v>517.38499999999988</v>
      </c>
      <c r="G105" s="84" t="str">
        <f>+VLOOKUP($A105,'[1]STYLE NAMES'!$B:$O,2,FALSE)</f>
        <v>MEN'S PRO COMPETITION JACKET</v>
      </c>
    </row>
    <row r="106" spans="1:7" x14ac:dyDescent="0.2">
      <c r="A106" s="55" t="s">
        <v>69</v>
      </c>
      <c r="B106" s="12" t="str">
        <f>+VLOOKUP(A106,'[1]STYLE NAMES'!$B:$O,4,FALSE)</f>
        <v>RIDER</v>
      </c>
      <c r="C106" s="12" t="str">
        <f>+VLOOKUP($A106,'[1]STYLE NAMES'!$B:$O,14,FALSE)</f>
        <v>KADIN PRO YARIŞMA CEKETİ</v>
      </c>
      <c r="D106" s="56">
        <v>449.9</v>
      </c>
      <c r="E106" s="17">
        <f t="shared" si="11"/>
        <v>24740</v>
      </c>
      <c r="F106" s="54">
        <f t="shared" si="12"/>
        <v>517.38499999999988</v>
      </c>
      <c r="G106" s="84" t="str">
        <f>+VLOOKUP($A106,'[1]STYLE NAMES'!$B:$O,2,FALSE)</f>
        <v>WOMEN'S PRO COMPETITION JACKET</v>
      </c>
    </row>
    <row r="107" spans="1:7" x14ac:dyDescent="0.2">
      <c r="A107" s="55" t="s">
        <v>112</v>
      </c>
      <c r="B107" s="12" t="str">
        <f>+VLOOKUP(A107,'[1]STYLE NAMES'!$B:$O,4,FALSE)</f>
        <v>RIDER</v>
      </c>
      <c r="C107" s="12" t="str">
        <f>+VLOOKUP($A107,'[1]STYLE NAMES'!$B:$O,14,FALSE)</f>
        <v>KADIN PRO YARIŞMA CEKETİ</v>
      </c>
      <c r="D107" s="56">
        <v>449.9</v>
      </c>
      <c r="E107" s="17">
        <f t="shared" si="11"/>
        <v>24740</v>
      </c>
      <c r="F107" s="54">
        <f t="shared" si="12"/>
        <v>517.38499999999988</v>
      </c>
      <c r="G107" s="84" t="str">
        <f>+VLOOKUP($A107,'[1]STYLE NAMES'!$B:$O,2,FALSE)</f>
        <v>WOMEN'S PRO COMPETITION JACKET</v>
      </c>
    </row>
    <row r="108" spans="1:7" x14ac:dyDescent="0.2">
      <c r="A108" s="55" t="s">
        <v>110</v>
      </c>
      <c r="B108" s="12" t="str">
        <f>+VLOOKUP(A108,'[1]STYLE NAMES'!$B:$O,4,FALSE)</f>
        <v>RIDER</v>
      </c>
      <c r="C108" s="12" t="str">
        <f>+VLOOKUP($A108,'[1]STYLE NAMES'!$B:$O,14,FALSE)</f>
        <v>ERKEK PRO YARIŞMA CEKETİ X TEAM TÜRKİYE</v>
      </c>
      <c r="D108" s="56">
        <v>499.9</v>
      </c>
      <c r="E108" s="17">
        <f t="shared" si="11"/>
        <v>27490</v>
      </c>
      <c r="F108" s="54">
        <f t="shared" si="12"/>
        <v>574.88499999999988</v>
      </c>
      <c r="G108" s="84" t="str">
        <f>+VLOOKUP($A108,'[1]STYLE NAMES'!$B:$O,2,FALSE)</f>
        <v>MEN'S PRO COMPETITION JACKET X TEAM TÜRKİYE</v>
      </c>
    </row>
    <row r="109" spans="1:7" ht="15.75" thickBot="1" x14ac:dyDescent="0.25">
      <c r="A109" s="72" t="s">
        <v>111</v>
      </c>
      <c r="B109" s="73" t="s">
        <v>107</v>
      </c>
      <c r="C109" s="73" t="str">
        <f>+VLOOKUP($A109,'[1]STYLE NAMES'!$B:$O,14,FALSE)</f>
        <v>KADIN PRO YARIŞMA CEKETİ X TEAM TÜRKİYE</v>
      </c>
      <c r="D109" s="74">
        <v>499.9</v>
      </c>
      <c r="E109" s="75">
        <f t="shared" si="11"/>
        <v>27490</v>
      </c>
      <c r="F109" s="76">
        <f t="shared" si="12"/>
        <v>574.88499999999988</v>
      </c>
      <c r="G109" s="85" t="str">
        <f>+VLOOKUP($A109,'[1]STYLE NAMES'!$B:$O,2,FALSE)</f>
        <v>WOMEN'S PRO COMPETITION JACKET X TEAM TÜRKİYE</v>
      </c>
    </row>
    <row r="112" spans="1:7" x14ac:dyDescent="0.2">
      <c r="A112" s="57" t="s">
        <v>124</v>
      </c>
      <c r="B112" s="14" t="s">
        <v>130</v>
      </c>
      <c r="C112" s="61">
        <v>89</v>
      </c>
    </row>
    <row r="113" spans="1:3" x14ac:dyDescent="0.2">
      <c r="A113" s="57" t="s">
        <v>125</v>
      </c>
      <c r="C113" s="61">
        <v>79</v>
      </c>
    </row>
    <row r="114" spans="1:3" x14ac:dyDescent="0.2">
      <c r="A114" s="57" t="s">
        <v>152</v>
      </c>
    </row>
    <row r="115" spans="1:3" x14ac:dyDescent="0.2">
      <c r="A115" s="57" t="s">
        <v>126</v>
      </c>
    </row>
    <row r="116" spans="1:3" x14ac:dyDescent="0.2">
      <c r="A116" s="57" t="s">
        <v>127</v>
      </c>
    </row>
    <row r="117" spans="1:3" x14ac:dyDescent="0.2">
      <c r="A117" s="57"/>
    </row>
    <row r="118" spans="1:3" x14ac:dyDescent="0.2">
      <c r="A118" s="57" t="s">
        <v>128</v>
      </c>
    </row>
    <row r="119" spans="1:3" x14ac:dyDescent="0.2">
      <c r="A119" s="57" t="s">
        <v>129</v>
      </c>
    </row>
    <row r="120" spans="1:3" x14ac:dyDescent="0.2">
      <c r="A120" s="57" t="s">
        <v>131</v>
      </c>
    </row>
    <row r="121" spans="1:3" x14ac:dyDescent="0.2">
      <c r="A121" s="57" t="s">
        <v>141</v>
      </c>
    </row>
    <row r="122" spans="1:3" x14ac:dyDescent="0.2">
      <c r="A122" s="57" t="s">
        <v>155</v>
      </c>
      <c r="B122" s="14" t="s">
        <v>154</v>
      </c>
    </row>
    <row r="123" spans="1:3" x14ac:dyDescent="0.2">
      <c r="A123" s="57"/>
    </row>
    <row r="124" spans="1:3" x14ac:dyDescent="0.2">
      <c r="A124" s="57"/>
    </row>
    <row r="125" spans="1:3" x14ac:dyDescent="0.2">
      <c r="A125" s="57"/>
    </row>
    <row r="126" spans="1:3" x14ac:dyDescent="0.2">
      <c r="A126" s="57"/>
    </row>
    <row r="127" spans="1:3" x14ac:dyDescent="0.2">
      <c r="A127" s="57"/>
    </row>
    <row r="128" spans="1:3" x14ac:dyDescent="0.2">
      <c r="A128" s="57"/>
    </row>
    <row r="129" spans="1:1" x14ac:dyDescent="0.2">
      <c r="A129" s="57"/>
    </row>
    <row r="130" spans="1:1" x14ac:dyDescent="0.2">
      <c r="A130" s="57"/>
    </row>
    <row r="131" spans="1:1" x14ac:dyDescent="0.2">
      <c r="A131" s="57"/>
    </row>
    <row r="132" spans="1:1" x14ac:dyDescent="0.2">
      <c r="A132" s="57"/>
    </row>
    <row r="133" spans="1:1" x14ac:dyDescent="0.2">
      <c r="A133" s="57"/>
    </row>
    <row r="134" spans="1:1" x14ac:dyDescent="0.2">
      <c r="A134" s="57"/>
    </row>
    <row r="135" spans="1:1" x14ac:dyDescent="0.2">
      <c r="A135" s="57"/>
    </row>
    <row r="136" spans="1:1" x14ac:dyDescent="0.2">
      <c r="A136" s="57"/>
    </row>
    <row r="137" spans="1:1" x14ac:dyDescent="0.2">
      <c r="A137" s="57"/>
    </row>
    <row r="138" spans="1:1" x14ac:dyDescent="0.2">
      <c r="A138" s="57"/>
    </row>
    <row r="139" spans="1:1" x14ac:dyDescent="0.2">
      <c r="A139" s="57"/>
    </row>
    <row r="140" spans="1:1" x14ac:dyDescent="0.2">
      <c r="A140" s="57"/>
    </row>
    <row r="141" spans="1:1" x14ac:dyDescent="0.2">
      <c r="A141" s="57"/>
    </row>
    <row r="142" spans="1:1" x14ac:dyDescent="0.2">
      <c r="A142" s="57"/>
    </row>
    <row r="143" spans="1:1" x14ac:dyDescent="0.2">
      <c r="A143" s="57"/>
    </row>
    <row r="144" spans="1:1" x14ac:dyDescent="0.2">
      <c r="A144" s="57"/>
    </row>
    <row r="145" spans="1:1" x14ac:dyDescent="0.2">
      <c r="A145" s="57"/>
    </row>
    <row r="146" spans="1:1" x14ac:dyDescent="0.2">
      <c r="A146" s="57"/>
    </row>
    <row r="147" spans="1:1" x14ac:dyDescent="0.2">
      <c r="A147" s="57"/>
    </row>
    <row r="148" spans="1:1" x14ac:dyDescent="0.2">
      <c r="A148" s="57"/>
    </row>
    <row r="149" spans="1:1" x14ac:dyDescent="0.2">
      <c r="A149" s="57"/>
    </row>
    <row r="150" spans="1:1" x14ac:dyDescent="0.2">
      <c r="A150" s="57"/>
    </row>
    <row r="151" spans="1:1" x14ac:dyDescent="0.2">
      <c r="A151" s="57"/>
    </row>
    <row r="152" spans="1:1" x14ac:dyDescent="0.2">
      <c r="A152" s="57"/>
    </row>
    <row r="153" spans="1:1" x14ac:dyDescent="0.2">
      <c r="A153" s="57"/>
    </row>
    <row r="154" spans="1:1" x14ac:dyDescent="0.2">
      <c r="A154" s="57"/>
    </row>
    <row r="155" spans="1:1" x14ac:dyDescent="0.2">
      <c r="A155" s="57"/>
    </row>
    <row r="156" spans="1:1" x14ac:dyDescent="0.2">
      <c r="A156" s="57"/>
    </row>
    <row r="157" spans="1:1" x14ac:dyDescent="0.2">
      <c r="A157" s="57"/>
    </row>
    <row r="158" spans="1:1" x14ac:dyDescent="0.2">
      <c r="A158" s="57"/>
    </row>
    <row r="159" spans="1:1" x14ac:dyDescent="0.2">
      <c r="A159" s="57"/>
    </row>
    <row r="160" spans="1:1" x14ac:dyDescent="0.2">
      <c r="A160" s="57"/>
    </row>
    <row r="161" spans="1:1" x14ac:dyDescent="0.2">
      <c r="A161" s="57"/>
    </row>
    <row r="162" spans="1:1" x14ac:dyDescent="0.2">
      <c r="A162" s="57"/>
    </row>
    <row r="163" spans="1:1" x14ac:dyDescent="0.2">
      <c r="A163" s="57"/>
    </row>
    <row r="164" spans="1:1" x14ac:dyDescent="0.2">
      <c r="A164" s="57"/>
    </row>
    <row r="165" spans="1:1" x14ac:dyDescent="0.2">
      <c r="A165" s="57"/>
    </row>
    <row r="166" spans="1:1" x14ac:dyDescent="0.2">
      <c r="A166" s="57"/>
    </row>
    <row r="167" spans="1:1" x14ac:dyDescent="0.2">
      <c r="A167" s="57"/>
    </row>
    <row r="168" spans="1:1" x14ac:dyDescent="0.2">
      <c r="A168" s="57"/>
    </row>
    <row r="169" spans="1:1" x14ac:dyDescent="0.2">
      <c r="A169" s="57"/>
    </row>
    <row r="170" spans="1:1" x14ac:dyDescent="0.2">
      <c r="A170" s="57"/>
    </row>
    <row r="171" spans="1:1" x14ac:dyDescent="0.2">
      <c r="A171" s="57"/>
    </row>
    <row r="172" spans="1:1" x14ac:dyDescent="0.2">
      <c r="A172" s="57"/>
    </row>
    <row r="173" spans="1:1" x14ac:dyDescent="0.2">
      <c r="A173" s="57"/>
    </row>
    <row r="174" spans="1:1" x14ac:dyDescent="0.2">
      <c r="A174" s="57"/>
    </row>
    <row r="175" spans="1:1" x14ac:dyDescent="0.2">
      <c r="A175" s="57"/>
    </row>
    <row r="176" spans="1:1" x14ac:dyDescent="0.2">
      <c r="A176" s="57"/>
    </row>
    <row r="177" spans="1:1" x14ac:dyDescent="0.2">
      <c r="A177" s="57"/>
    </row>
    <row r="178" spans="1:1" x14ac:dyDescent="0.2">
      <c r="A178" s="57"/>
    </row>
    <row r="179" spans="1:1" x14ac:dyDescent="0.2">
      <c r="A179" s="57"/>
    </row>
    <row r="180" spans="1:1" x14ac:dyDescent="0.2">
      <c r="A180" s="57"/>
    </row>
    <row r="181" spans="1:1" x14ac:dyDescent="0.2">
      <c r="A181" s="57"/>
    </row>
    <row r="182" spans="1:1" x14ac:dyDescent="0.2">
      <c r="A182" s="57"/>
    </row>
    <row r="183" spans="1:1" x14ac:dyDescent="0.2">
      <c r="A183" s="57"/>
    </row>
    <row r="184" spans="1:1" x14ac:dyDescent="0.2">
      <c r="A184" s="57"/>
    </row>
    <row r="185" spans="1:1" x14ac:dyDescent="0.2">
      <c r="A185" s="57"/>
    </row>
    <row r="186" spans="1:1" x14ac:dyDescent="0.2">
      <c r="A186" s="57"/>
    </row>
    <row r="187" spans="1:1" x14ac:dyDescent="0.2">
      <c r="A187" s="57"/>
    </row>
    <row r="188" spans="1:1" x14ac:dyDescent="0.2">
      <c r="A188" s="57"/>
    </row>
    <row r="189" spans="1:1" x14ac:dyDescent="0.2">
      <c r="A189" s="57"/>
    </row>
    <row r="190" spans="1:1" x14ac:dyDescent="0.2">
      <c r="A190" s="57"/>
    </row>
    <row r="191" spans="1:1" x14ac:dyDescent="0.2">
      <c r="A191" s="57"/>
    </row>
    <row r="192" spans="1:1" x14ac:dyDescent="0.2">
      <c r="A192" s="57"/>
    </row>
    <row r="193" spans="1:1" x14ac:dyDescent="0.2">
      <c r="A193" s="57"/>
    </row>
    <row r="194" spans="1:1" x14ac:dyDescent="0.2">
      <c r="A194" s="57"/>
    </row>
    <row r="195" spans="1:1" x14ac:dyDescent="0.2">
      <c r="A195" s="57"/>
    </row>
    <row r="196" spans="1:1" x14ac:dyDescent="0.2">
      <c r="A196" s="57"/>
    </row>
    <row r="197" spans="1:1" x14ac:dyDescent="0.2">
      <c r="A197" s="57"/>
    </row>
    <row r="198" spans="1:1" x14ac:dyDescent="0.2">
      <c r="A198" s="57"/>
    </row>
    <row r="199" spans="1:1" x14ac:dyDescent="0.2">
      <c r="A199" s="57"/>
    </row>
    <row r="200" spans="1:1" x14ac:dyDescent="0.2">
      <c r="A200" s="57"/>
    </row>
    <row r="201" spans="1:1" x14ac:dyDescent="0.2">
      <c r="A201" s="57"/>
    </row>
    <row r="202" spans="1:1" x14ac:dyDescent="0.2">
      <c r="A202" s="57"/>
    </row>
    <row r="203" spans="1:1" x14ac:dyDescent="0.2">
      <c r="A203" s="57"/>
    </row>
    <row r="204" spans="1:1" x14ac:dyDescent="0.2">
      <c r="A204" s="57"/>
    </row>
    <row r="205" spans="1:1" x14ac:dyDescent="0.2">
      <c r="A205" s="57"/>
    </row>
    <row r="206" spans="1:1" x14ac:dyDescent="0.2">
      <c r="A206" s="57"/>
    </row>
    <row r="207" spans="1:1" x14ac:dyDescent="0.2">
      <c r="A207" s="57"/>
    </row>
    <row r="208" spans="1:1" x14ac:dyDescent="0.2">
      <c r="A208" s="57"/>
    </row>
    <row r="209" spans="1:1" x14ac:dyDescent="0.2">
      <c r="A209" s="57"/>
    </row>
    <row r="210" spans="1:1" x14ac:dyDescent="0.2">
      <c r="A210" s="57"/>
    </row>
    <row r="211" spans="1:1" x14ac:dyDescent="0.2">
      <c r="A211" s="57"/>
    </row>
    <row r="212" spans="1:1" x14ac:dyDescent="0.2">
      <c r="A212" s="57"/>
    </row>
    <row r="213" spans="1:1" x14ac:dyDescent="0.2">
      <c r="A213" s="57"/>
    </row>
    <row r="214" spans="1:1" x14ac:dyDescent="0.2">
      <c r="A214" s="57"/>
    </row>
    <row r="215" spans="1:1" x14ac:dyDescent="0.2">
      <c r="A215" s="57"/>
    </row>
    <row r="216" spans="1:1" x14ac:dyDescent="0.2">
      <c r="A216" s="57"/>
    </row>
    <row r="217" spans="1:1" x14ac:dyDescent="0.2">
      <c r="A217" s="57"/>
    </row>
    <row r="218" spans="1:1" x14ac:dyDescent="0.2">
      <c r="A218" s="57"/>
    </row>
    <row r="219" spans="1:1" x14ac:dyDescent="0.2">
      <c r="A219" s="57"/>
    </row>
    <row r="220" spans="1:1" x14ac:dyDescent="0.2">
      <c r="A220" s="57"/>
    </row>
    <row r="221" spans="1:1" x14ac:dyDescent="0.2">
      <c r="A221" s="57"/>
    </row>
    <row r="222" spans="1:1" x14ac:dyDescent="0.2">
      <c r="A222" s="57"/>
    </row>
    <row r="223" spans="1:1" x14ac:dyDescent="0.2">
      <c r="A223" s="57"/>
    </row>
    <row r="224" spans="1:1" x14ac:dyDescent="0.2">
      <c r="A224" s="57"/>
    </row>
    <row r="225" spans="1:1" x14ac:dyDescent="0.2">
      <c r="A225" s="57"/>
    </row>
    <row r="226" spans="1:1" x14ac:dyDescent="0.2">
      <c r="A226" s="57"/>
    </row>
    <row r="227" spans="1:1" x14ac:dyDescent="0.2">
      <c r="A227" s="57"/>
    </row>
    <row r="228" spans="1:1" x14ac:dyDescent="0.2">
      <c r="A228" s="57"/>
    </row>
    <row r="229" spans="1:1" x14ac:dyDescent="0.2">
      <c r="A229" s="57"/>
    </row>
    <row r="230" spans="1:1" x14ac:dyDescent="0.2">
      <c r="A230" s="57"/>
    </row>
    <row r="231" spans="1:1" x14ac:dyDescent="0.2">
      <c r="A231" s="57"/>
    </row>
    <row r="232" spans="1:1" x14ac:dyDescent="0.2">
      <c r="A232" s="57"/>
    </row>
    <row r="233" spans="1:1" x14ac:dyDescent="0.2">
      <c r="A233" s="57"/>
    </row>
    <row r="234" spans="1:1" x14ac:dyDescent="0.2">
      <c r="A234" s="57"/>
    </row>
    <row r="235" spans="1:1" x14ac:dyDescent="0.2">
      <c r="A235" s="57"/>
    </row>
    <row r="236" spans="1:1" x14ac:dyDescent="0.2">
      <c r="A236" s="57"/>
    </row>
    <row r="237" spans="1:1" x14ac:dyDescent="0.2">
      <c r="A237" s="57"/>
    </row>
    <row r="238" spans="1:1" x14ac:dyDescent="0.2">
      <c r="A238" s="57"/>
    </row>
    <row r="239" spans="1:1" x14ac:dyDescent="0.2">
      <c r="A239" s="57"/>
    </row>
    <row r="240" spans="1:1" x14ac:dyDescent="0.2">
      <c r="A240" s="57"/>
    </row>
  </sheetData>
  <autoFilter ref="A2:G109">
    <sortState ref="A3:G109">
      <sortCondition ref="D3:D109"/>
      <sortCondition ref="B3:B109"/>
      <sortCondition ref="A3:A109"/>
    </sortState>
  </autoFilter>
  <sortState ref="A3:G109">
    <sortCondition ref="D3:D109"/>
  </sortState>
  <conditionalFormatting sqref="A17">
    <cfRule type="duplicateValues" dxfId="32" priority="4"/>
  </conditionalFormatting>
  <conditionalFormatting sqref="A121">
    <cfRule type="duplicateValues" dxfId="31" priority="2"/>
  </conditionalFormatting>
  <conditionalFormatting sqref="A2:B2 A3:A16 A18:A109">
    <cfRule type="duplicateValues" dxfId="30" priority="238"/>
  </conditionalFormatting>
  <conditionalFormatting sqref="A114:B114">
    <cfRule type="duplicateValues" dxfId="29" priority="1"/>
  </conditionalFormatting>
  <conditionalFormatting sqref="A122:B1048576 A110:B113 A2:B2 A1 B121 A3:A109 A115:B120">
    <cfRule type="duplicateValues" dxfId="28" priority="3"/>
  </conditionalFormatting>
  <pageMargins left="0.7" right="0.7" top="0.75" bottom="0.75" header="0.3" footer="0.3"/>
  <pageSetup paperSize="9" scale="56" orientation="portrait" horizontalDpi="4294967293" verticalDpi="4294967293" r:id="rId1"/>
  <rowBreaks count="1" manualBreakCount="1">
    <brk id="109"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516"/>
  <dimension ref="A1:V224"/>
  <sheetViews>
    <sheetView showZeros="0" zoomScaleNormal="100" workbookViewId="0">
      <pane ySplit="9" topLeftCell="A69" activePane="bottomLeft" state="frozen"/>
      <selection pane="bottomLeft" activeCell="C81" sqref="C81:K82"/>
    </sheetView>
  </sheetViews>
  <sheetFormatPr defaultColWidth="0" defaultRowHeight="12.75" zeroHeight="1" x14ac:dyDescent="0.2"/>
  <cols>
    <col min="1" max="1" width="2.7109375" style="6" customWidth="1"/>
    <col min="2" max="2" width="17.85546875" style="8" customWidth="1"/>
    <col min="3" max="3" width="12.28515625" style="5" bestFit="1" customWidth="1"/>
    <col min="4" max="4" width="45.140625" style="34" bestFit="1" customWidth="1"/>
    <col min="5" max="5" width="11.28515625" style="11" bestFit="1" customWidth="1"/>
    <col min="6" max="6" width="18" customWidth="1"/>
    <col min="7" max="8" width="16.5703125" customWidth="1"/>
    <col min="9" max="9" width="16.85546875" customWidth="1"/>
    <col min="10" max="11" width="21.42578125" customWidth="1"/>
    <col min="12" max="22" width="0" hidden="1" customWidth="1"/>
    <col min="23" max="16384" width="9.140625" hidden="1"/>
  </cols>
  <sheetData>
    <row r="1" spans="1:12" ht="9" customHeight="1" thickBot="1" x14ac:dyDescent="0.3">
      <c r="B1" s="1"/>
      <c r="C1" s="4"/>
      <c r="D1" s="29"/>
      <c r="E1" s="2"/>
      <c r="F1" s="2"/>
      <c r="G1" s="2"/>
      <c r="H1" s="2"/>
      <c r="I1" s="3"/>
    </row>
    <row r="2" spans="1:12" ht="15.75" customHeight="1" x14ac:dyDescent="0.2">
      <c r="B2" s="86" t="s">
        <v>1</v>
      </c>
      <c r="C2" s="87"/>
      <c r="D2" s="87"/>
      <c r="E2" s="87"/>
      <c r="F2" s="87"/>
      <c r="G2" s="87"/>
      <c r="H2" s="87"/>
      <c r="I2" s="87"/>
      <c r="J2" s="87"/>
      <c r="K2" s="88"/>
    </row>
    <row r="3" spans="1:12" ht="15.75" customHeight="1" x14ac:dyDescent="0.2">
      <c r="B3" s="89"/>
      <c r="C3" s="90"/>
      <c r="D3" s="90"/>
      <c r="E3" s="90"/>
      <c r="F3" s="90"/>
      <c r="G3" s="90"/>
      <c r="H3" s="90"/>
      <c r="I3" s="90"/>
      <c r="J3" s="90"/>
      <c r="K3" s="91"/>
    </row>
    <row r="4" spans="1:12" ht="15.75" customHeight="1" x14ac:dyDescent="0.2">
      <c r="B4" s="89"/>
      <c r="C4" s="90"/>
      <c r="D4" s="90"/>
      <c r="E4" s="90"/>
      <c r="F4" s="90"/>
      <c r="G4" s="90"/>
      <c r="H4" s="90"/>
      <c r="I4" s="90"/>
      <c r="J4" s="90"/>
      <c r="K4" s="91"/>
    </row>
    <row r="5" spans="1:12" ht="15.75" customHeight="1" x14ac:dyDescent="0.2">
      <c r="B5" s="89"/>
      <c r="C5" s="90"/>
      <c r="D5" s="90"/>
      <c r="E5" s="90"/>
      <c r="F5" s="90"/>
      <c r="G5" s="90"/>
      <c r="H5" s="90"/>
      <c r="I5" s="90"/>
      <c r="J5" s="90"/>
      <c r="K5" s="91"/>
    </row>
    <row r="6" spans="1:12" ht="15.75" customHeight="1" x14ac:dyDescent="0.2">
      <c r="B6" s="89"/>
      <c r="C6" s="90"/>
      <c r="D6" s="90"/>
      <c r="E6" s="90"/>
      <c r="F6" s="90"/>
      <c r="G6" s="90"/>
      <c r="H6" s="90"/>
      <c r="I6" s="90"/>
      <c r="J6" s="90"/>
      <c r="K6" s="91"/>
    </row>
    <row r="7" spans="1:12" ht="15.75" customHeight="1" x14ac:dyDescent="0.2">
      <c r="B7" s="92"/>
      <c r="C7" s="93"/>
      <c r="D7" s="93"/>
      <c r="E7" s="93"/>
      <c r="F7" s="93"/>
      <c r="G7" s="93"/>
      <c r="H7" s="93"/>
      <c r="I7" s="93"/>
      <c r="J7" s="93"/>
      <c r="K7" s="94"/>
    </row>
    <row r="8" spans="1:12" s="34" customFormat="1" ht="12" x14ac:dyDescent="0.2">
      <c r="A8" s="41"/>
      <c r="B8" s="63"/>
      <c r="C8" s="30" t="str">
        <f>+'CSM  PRICE LIST 26.1.3'!B1</f>
        <v>v.26.1.3</v>
      </c>
      <c r="D8" s="30" t="str">
        <f>+'CSM  PRICE LIST 26.1.3'!C1</f>
        <v>Valid Through:    01.01.26 - 31.06.26</v>
      </c>
      <c r="E8" s="51">
        <v>4</v>
      </c>
      <c r="F8" s="51">
        <v>5</v>
      </c>
      <c r="G8" s="51">
        <v>6</v>
      </c>
      <c r="H8" s="51">
        <v>7</v>
      </c>
      <c r="I8" s="51">
        <v>8</v>
      </c>
      <c r="J8" s="52">
        <v>9</v>
      </c>
      <c r="K8" s="53">
        <v>10</v>
      </c>
    </row>
    <row r="9" spans="1:12" s="43" customFormat="1" ht="36" x14ac:dyDescent="0.2">
      <c r="A9" s="41"/>
      <c r="B9" s="42" t="s">
        <v>85</v>
      </c>
      <c r="C9" s="31" t="s">
        <v>86</v>
      </c>
      <c r="D9" s="31" t="s">
        <v>59</v>
      </c>
      <c r="E9" s="31" t="s">
        <v>72</v>
      </c>
      <c r="F9" s="26" t="s">
        <v>87</v>
      </c>
      <c r="G9" s="27" t="s">
        <v>61</v>
      </c>
      <c r="H9" s="27" t="s">
        <v>60</v>
      </c>
      <c r="I9" s="27" t="s">
        <v>0</v>
      </c>
      <c r="J9" s="27" t="s">
        <v>132</v>
      </c>
      <c r="K9" s="28" t="s">
        <v>104</v>
      </c>
    </row>
    <row r="10" spans="1:12" s="48" customFormat="1" ht="11.25" x14ac:dyDescent="0.2">
      <c r="A10" s="6"/>
      <c r="B10" s="44" t="s">
        <v>115</v>
      </c>
      <c r="C10" s="45" t="s">
        <v>71</v>
      </c>
      <c r="D10" s="45" t="s">
        <v>116</v>
      </c>
      <c r="E10" s="45" t="s">
        <v>101</v>
      </c>
      <c r="F10" s="46" t="s">
        <v>133</v>
      </c>
      <c r="G10" s="47" t="s">
        <v>144</v>
      </c>
      <c r="H10" s="47" t="s">
        <v>102</v>
      </c>
      <c r="I10" s="47" t="s">
        <v>145</v>
      </c>
      <c r="J10" s="47" t="s">
        <v>103</v>
      </c>
      <c r="K10" s="49" t="s">
        <v>105</v>
      </c>
    </row>
    <row r="11" spans="1:12" ht="15.75" x14ac:dyDescent="0.2">
      <c r="B11" s="15" t="s">
        <v>27</v>
      </c>
      <c r="C11" s="25" t="str">
        <f>+VLOOKUP($B11,'CSM  PRICE LIST 26.1.3'!$A$2:$E$110,2,FALSE)</f>
        <v>ACCESSORIES</v>
      </c>
      <c r="D11" s="32" t="str">
        <f>+VLOOKUP($B11,'CSM  PRICE LIST 26.1.3'!$A$2:$E$110,3,FALSE)</f>
        <v>ANAHTARLIK</v>
      </c>
      <c r="E11" s="16">
        <f>+VLOOKUP($B11,'CSM  PRICE LIST 26.1.3'!$A$2:$E$110,4,FALSE)</f>
        <v>12.9</v>
      </c>
      <c r="F11" s="9">
        <f>+VLOOKUP($B11,'CSM  PRICE LIST 26.1.3'!$A$2:$E$110,5,FALSE)</f>
        <v>700</v>
      </c>
      <c r="G11" s="9">
        <f>+ROUNDDOWN(F11*0.8,-2)</f>
        <v>500</v>
      </c>
      <c r="H11" s="9">
        <f>+ROUNDDOWN(F11*0.7,-2)</f>
        <v>400</v>
      </c>
      <c r="I11" s="9">
        <f t="shared" ref="I11:I42" si="0">+ROUNDDOWN(F11*0.6,-1)</f>
        <v>420</v>
      </c>
      <c r="J11" s="9">
        <f t="shared" ref="J11:J42" si="1">ROUNDUP(+F11*0.5,0)</f>
        <v>350</v>
      </c>
      <c r="K11" s="10">
        <f t="shared" ref="K11:K42" si="2">ROUNDUP(+F11*0.3,-1)</f>
        <v>210</v>
      </c>
    </row>
    <row r="12" spans="1:12" ht="18.75" customHeight="1" x14ac:dyDescent="0.2">
      <c r="B12" s="15" t="s">
        <v>16</v>
      </c>
      <c r="C12" s="25" t="str">
        <f>+VLOOKUP($B12,'CSM  PRICE LIST 26.1.3'!$A$2:$E$110,2,FALSE)</f>
        <v>ACCESSORIES</v>
      </c>
      <c r="D12" s="32" t="str">
        <f>+VLOOKUP($B12,'CSM  PRICE LIST 26.1.3'!$A$2:$E$110,3,FALSE)</f>
        <v>İSİM KÜNYESİ</v>
      </c>
      <c r="E12" s="16">
        <f>+VLOOKUP($B12,'CSM  PRICE LIST 26.1.3'!$A$2:$E$110,4,FALSE)</f>
        <v>12.9</v>
      </c>
      <c r="F12" s="9">
        <f>+VLOOKUP($B12,'CSM  PRICE LIST 26.1.3'!$A$2:$E$110,5,FALSE)</f>
        <v>700</v>
      </c>
      <c r="G12" s="9">
        <f t="shared" ref="G12:G54" si="3">+ROUNDDOWN(F12*0.8,-2)</f>
        <v>500</v>
      </c>
      <c r="H12" s="9">
        <f t="shared" ref="H12:H15" si="4">+ROUNDDOWN(F12*0.7,-2)</f>
        <v>400</v>
      </c>
      <c r="I12" s="9">
        <f t="shared" si="0"/>
        <v>420</v>
      </c>
      <c r="J12" s="9">
        <f t="shared" si="1"/>
        <v>350</v>
      </c>
      <c r="K12" s="10">
        <f t="shared" si="2"/>
        <v>210</v>
      </c>
      <c r="L12" s="7"/>
    </row>
    <row r="13" spans="1:12" ht="18.75" customHeight="1" x14ac:dyDescent="0.2">
      <c r="B13" s="15" t="s">
        <v>146</v>
      </c>
      <c r="C13" s="25" t="str">
        <f>+VLOOKUP($B13,'CSM  PRICE LIST 26.1.3'!$A$2:$E$110,2,FALSE)</f>
        <v>ACCESSORIES</v>
      </c>
      <c r="D13" s="32" t="str">
        <f>+VLOOKUP($B13,'CSM  PRICE LIST 26.1.3'!$A$2:$E$110,3,FALSE)</f>
        <v>BANDANA</v>
      </c>
      <c r="E13" s="16">
        <f>+VLOOKUP($B13,'CSM  PRICE LIST 26.1.3'!$A$2:$E$110,4,FALSE)</f>
        <v>12.9</v>
      </c>
      <c r="F13" s="9">
        <f>+VLOOKUP($B13,'CSM  PRICE LIST 26.1.3'!$A$2:$E$110,5,FALSE)</f>
        <v>700</v>
      </c>
      <c r="G13" s="9">
        <f t="shared" si="3"/>
        <v>500</v>
      </c>
      <c r="H13" s="9">
        <f t="shared" si="4"/>
        <v>400</v>
      </c>
      <c r="I13" s="9">
        <f t="shared" si="0"/>
        <v>420</v>
      </c>
      <c r="J13" s="9">
        <f t="shared" si="1"/>
        <v>350</v>
      </c>
      <c r="K13" s="10">
        <f t="shared" si="2"/>
        <v>210</v>
      </c>
      <c r="L13" s="7"/>
    </row>
    <row r="14" spans="1:12" ht="18.75" customHeight="1" x14ac:dyDescent="0.2">
      <c r="B14" s="15" t="s">
        <v>20</v>
      </c>
      <c r="C14" s="25" t="str">
        <f>+VLOOKUP($B14,'CSM  PRICE LIST 26.1.3'!$A$2:$E$110,2,FALSE)</f>
        <v>ACCESSORIES</v>
      </c>
      <c r="D14" s="32" t="str">
        <f>+VLOOKUP($B14,'CSM  PRICE LIST 26.1.3'!$A$2:$E$110,3,FALSE)</f>
        <v>KEP ŞAPKA</v>
      </c>
      <c r="E14" s="16">
        <f>+VLOOKUP($B14,'CSM  PRICE LIST 26.1.3'!$A$2:$E$110,4,FALSE)</f>
        <v>29.9</v>
      </c>
      <c r="F14" s="9">
        <f>+VLOOKUP($B14,'CSM  PRICE LIST 26.1.3'!$A$2:$E$110,5,FALSE)</f>
        <v>1640</v>
      </c>
      <c r="G14" s="9">
        <f t="shared" si="3"/>
        <v>1300</v>
      </c>
      <c r="H14" s="9">
        <f t="shared" si="4"/>
        <v>1100</v>
      </c>
      <c r="I14" s="9">
        <f t="shared" si="0"/>
        <v>980</v>
      </c>
      <c r="J14" s="9">
        <f t="shared" si="1"/>
        <v>820</v>
      </c>
      <c r="K14" s="10">
        <f t="shared" si="2"/>
        <v>500</v>
      </c>
      <c r="L14" s="7"/>
    </row>
    <row r="15" spans="1:12" ht="18.75" customHeight="1" x14ac:dyDescent="0.2">
      <c r="B15" s="15" t="s">
        <v>18</v>
      </c>
      <c r="C15" s="25" t="str">
        <f>+VLOOKUP($B15,'CSM  PRICE LIST 26.1.3'!$A$2:$E$110,2,FALSE)</f>
        <v>ACCESSORIES</v>
      </c>
      <c r="D15" s="32" t="str">
        <f>+VLOOKUP($B15,'CSM  PRICE LIST 26.1.3'!$A$2:$E$110,3,FALSE)</f>
        <v>BERE ŞAPKA</v>
      </c>
      <c r="E15" s="16">
        <f>+VLOOKUP($B15,'CSM  PRICE LIST 26.1.3'!$A$2:$E$110,4,FALSE)</f>
        <v>29.9</v>
      </c>
      <c r="F15" s="9">
        <f>+VLOOKUP($B15,'CSM  PRICE LIST 26.1.3'!$A$2:$E$110,5,FALSE)</f>
        <v>1640</v>
      </c>
      <c r="G15" s="9">
        <f t="shared" si="3"/>
        <v>1300</v>
      </c>
      <c r="H15" s="9">
        <f t="shared" si="4"/>
        <v>1100</v>
      </c>
      <c r="I15" s="9">
        <f t="shared" si="0"/>
        <v>980</v>
      </c>
      <c r="J15" s="9">
        <f t="shared" si="1"/>
        <v>820</v>
      </c>
      <c r="K15" s="10">
        <f t="shared" si="2"/>
        <v>500</v>
      </c>
      <c r="L15" s="7"/>
    </row>
    <row r="16" spans="1:12" ht="18.75" customHeight="1" x14ac:dyDescent="0.2">
      <c r="B16" s="15" t="s">
        <v>21</v>
      </c>
      <c r="C16" s="25" t="str">
        <f>+VLOOKUP($B16,'CSM  PRICE LIST 26.1.3'!$A$2:$E$110,2,FALSE)</f>
        <v>ACCESSORIES</v>
      </c>
      <c r="D16" s="32" t="str">
        <f>+VLOOKUP($B16,'CSM  PRICE LIST 26.1.3'!$A$2:$E$110,3,FALSE)</f>
        <v>YAZLIK BİNİCİ ÇORABI
3'LÜ PAKET</v>
      </c>
      <c r="E16" s="16">
        <f>+VLOOKUP($B16,'CSM  PRICE LIST 26.1.3'!$A$2:$E$110,4,FALSE)</f>
        <v>34.9</v>
      </c>
      <c r="F16" s="9">
        <f>+VLOOKUP($B16,'CSM  PRICE LIST 26.1.3'!$A$2:$E$110,5,FALSE)</f>
        <v>1910</v>
      </c>
      <c r="G16" s="9">
        <f t="shared" si="3"/>
        <v>1500</v>
      </c>
      <c r="H16" s="9">
        <f t="shared" ref="H16:H24" si="5">+ROUNDDOWN(F16*0.7,-2)</f>
        <v>1300</v>
      </c>
      <c r="I16" s="9">
        <f t="shared" si="0"/>
        <v>1140</v>
      </c>
      <c r="J16" s="9">
        <f t="shared" si="1"/>
        <v>955</v>
      </c>
      <c r="K16" s="10">
        <f t="shared" si="2"/>
        <v>580</v>
      </c>
      <c r="L16" s="7"/>
    </row>
    <row r="17" spans="2:12" ht="18.75" customHeight="1" x14ac:dyDescent="0.2">
      <c r="B17" s="15" t="s">
        <v>22</v>
      </c>
      <c r="C17" s="25" t="str">
        <f>+VLOOKUP($B17,'CSM  PRICE LIST 26.1.3'!$A$2:$E$110,2,FALSE)</f>
        <v>ACCESSORIES</v>
      </c>
      <c r="D17" s="32" t="str">
        <f>+VLOOKUP($B17,'CSM  PRICE LIST 26.1.3'!$A$2:$E$110,3,FALSE)</f>
        <v>GEO 4 MEVSİM BİNİCİ ÇORABI
3'LÜ PAKET</v>
      </c>
      <c r="E17" s="16">
        <f>+VLOOKUP($B17,'CSM  PRICE LIST 26.1.3'!$A$2:$E$110,4,FALSE)</f>
        <v>34.9</v>
      </c>
      <c r="F17" s="9">
        <f>+VLOOKUP($B17,'CSM  PRICE LIST 26.1.3'!$A$2:$E$110,5,FALSE)</f>
        <v>1910</v>
      </c>
      <c r="G17" s="9">
        <f t="shared" si="3"/>
        <v>1500</v>
      </c>
      <c r="H17" s="9">
        <f t="shared" si="5"/>
        <v>1300</v>
      </c>
      <c r="I17" s="9">
        <f t="shared" si="0"/>
        <v>1140</v>
      </c>
      <c r="J17" s="9">
        <f t="shared" si="1"/>
        <v>955</v>
      </c>
      <c r="K17" s="10">
        <f t="shared" si="2"/>
        <v>580</v>
      </c>
      <c r="L17" s="7"/>
    </row>
    <row r="18" spans="2:12" ht="18.75" customHeight="1" x14ac:dyDescent="0.2">
      <c r="B18" s="15" t="s">
        <v>25</v>
      </c>
      <c r="C18" s="25" t="str">
        <f>+VLOOKUP($B18,'CSM  PRICE LIST 26.1.3'!$A$2:$E$110,2,FALSE)</f>
        <v>ACCESSORIES</v>
      </c>
      <c r="D18" s="32" t="str">
        <f>+VLOOKUP($B18,'CSM  PRICE LIST 26.1.3'!$A$2:$E$110,3,FALSE)</f>
        <v>ÇOCUK BİNİCİ ÇORABI
3'LÜ PAKET</v>
      </c>
      <c r="E18" s="16">
        <f>+VLOOKUP($B18,'CSM  PRICE LIST 26.1.3'!$A$2:$E$110,4,FALSE)</f>
        <v>34.9</v>
      </c>
      <c r="F18" s="9">
        <f>+VLOOKUP($B18,'CSM  PRICE LIST 26.1.3'!$A$2:$E$110,5,FALSE)</f>
        <v>1910</v>
      </c>
      <c r="G18" s="9">
        <f t="shared" si="3"/>
        <v>1500</v>
      </c>
      <c r="H18" s="9">
        <f t="shared" si="5"/>
        <v>1300</v>
      </c>
      <c r="I18" s="9">
        <f t="shared" si="0"/>
        <v>1140</v>
      </c>
      <c r="J18" s="9">
        <f t="shared" si="1"/>
        <v>955</v>
      </c>
      <c r="K18" s="10">
        <f t="shared" si="2"/>
        <v>580</v>
      </c>
      <c r="L18" s="7"/>
    </row>
    <row r="19" spans="2:12" ht="18.75" customHeight="1" x14ac:dyDescent="0.2">
      <c r="B19" s="15" t="s">
        <v>26</v>
      </c>
      <c r="C19" s="25" t="str">
        <f>+VLOOKUP($B19,'CSM  PRICE LIST 26.1.3'!$A$2:$E$110,2,FALSE)</f>
        <v>ACCESSORIES</v>
      </c>
      <c r="D19" s="32" t="str">
        <f>+VLOOKUP($B19,'CSM  PRICE LIST 26.1.3'!$A$2:$E$110,3,FALSE)</f>
        <v>YARIŞMA KRAVATI</v>
      </c>
      <c r="E19" s="16">
        <f>+VLOOKUP($B19,'CSM  PRICE LIST 26.1.3'!$A$2:$E$110,4,FALSE)</f>
        <v>39.9</v>
      </c>
      <c r="F19" s="9">
        <f>+VLOOKUP($B19,'CSM  PRICE LIST 26.1.3'!$A$2:$E$110,5,FALSE)</f>
        <v>2190</v>
      </c>
      <c r="G19" s="9">
        <f t="shared" si="3"/>
        <v>1700</v>
      </c>
      <c r="H19" s="9">
        <f t="shared" si="5"/>
        <v>1500</v>
      </c>
      <c r="I19" s="9">
        <f t="shared" si="0"/>
        <v>1310</v>
      </c>
      <c r="J19" s="9">
        <f t="shared" si="1"/>
        <v>1095</v>
      </c>
      <c r="K19" s="10">
        <f t="shared" si="2"/>
        <v>660</v>
      </c>
      <c r="L19" s="7"/>
    </row>
    <row r="20" spans="2:12" ht="18.75" customHeight="1" x14ac:dyDescent="0.2">
      <c r="B20" s="15" t="s">
        <v>147</v>
      </c>
      <c r="C20" s="25" t="str">
        <f>+VLOOKUP($B20,'CSM  PRICE LIST 26.1.3'!$A$2:$E$110,2,FALSE)</f>
        <v>ACCESSORIES</v>
      </c>
      <c r="D20" s="32" t="str">
        <f>+VLOOKUP($B20,'CSM  PRICE LIST 26.1.3'!$A$2:$E$110,3,FALSE)</f>
        <v>4 MEVSİM BİNİCİ ÇORABI
3'LÜ PAKET</v>
      </c>
      <c r="E20" s="16">
        <f>+VLOOKUP($B20,'CSM  PRICE LIST 26.1.3'!$A$2:$E$110,4,FALSE)</f>
        <v>39.9</v>
      </c>
      <c r="F20" s="9">
        <f>+VLOOKUP($B20,'CSM  PRICE LIST 26.1.3'!$A$2:$E$110,5,FALSE)</f>
        <v>2190</v>
      </c>
      <c r="G20" s="9">
        <f t="shared" si="3"/>
        <v>1700</v>
      </c>
      <c r="H20" s="9">
        <f t="shared" si="5"/>
        <v>1500</v>
      </c>
      <c r="I20" s="9">
        <f t="shared" si="0"/>
        <v>1310</v>
      </c>
      <c r="J20" s="9">
        <f t="shared" si="1"/>
        <v>1095</v>
      </c>
      <c r="K20" s="10">
        <f t="shared" si="2"/>
        <v>660</v>
      </c>
      <c r="L20" s="7"/>
    </row>
    <row r="21" spans="2:12" ht="18.75" customHeight="1" x14ac:dyDescent="0.2">
      <c r="B21" s="15" t="s">
        <v>75</v>
      </c>
      <c r="C21" s="25" t="str">
        <f>+VLOOKUP($B21,'CSM  PRICE LIST 26.1.3'!$A$2:$E$110,2,FALSE)</f>
        <v>ACCESSORIES</v>
      </c>
      <c r="D21" s="32" t="str">
        <f>+VLOOKUP($B21,'CSM  PRICE LIST 26.1.3'!$A$2:$E$110,3,FALSE)</f>
        <v>ÖRME YARIŞMA KRAVATI</v>
      </c>
      <c r="E21" s="16">
        <f>+VLOOKUP($B21,'CSM  PRICE LIST 26.1.3'!$A$2:$E$110,4,FALSE)</f>
        <v>39.9</v>
      </c>
      <c r="F21" s="9">
        <f>+VLOOKUP($B21,'CSM  PRICE LIST 26.1.3'!$A$2:$E$110,5,FALSE)</f>
        <v>2190</v>
      </c>
      <c r="G21" s="9">
        <f t="shared" si="3"/>
        <v>1700</v>
      </c>
      <c r="H21" s="9">
        <f t="shared" si="5"/>
        <v>1500</v>
      </c>
      <c r="I21" s="9">
        <f t="shared" si="0"/>
        <v>1310</v>
      </c>
      <c r="J21" s="9">
        <f t="shared" si="1"/>
        <v>1095</v>
      </c>
      <c r="K21" s="10">
        <f t="shared" si="2"/>
        <v>660</v>
      </c>
      <c r="L21" s="7"/>
    </row>
    <row r="22" spans="2:12" ht="18.75" customHeight="1" x14ac:dyDescent="0.2">
      <c r="B22" s="15" t="s">
        <v>23</v>
      </c>
      <c r="C22" s="25" t="str">
        <f>+VLOOKUP($B22,'CSM  PRICE LIST 26.1.3'!$A$2:$E$110,2,FALSE)</f>
        <v>ACCESSORIES</v>
      </c>
      <c r="D22" s="32" t="str">
        <f>+VLOOKUP($B22,'CSM  PRICE LIST 26.1.3'!$A$2:$E$110,3,FALSE)</f>
        <v>4 MEVSİM BİNİCİ ÇORABI
3'LÜ PAKET</v>
      </c>
      <c r="E22" s="16">
        <f>+VLOOKUP($B22,'CSM  PRICE LIST 26.1.3'!$A$2:$E$110,4,FALSE)</f>
        <v>39.9</v>
      </c>
      <c r="F22" s="9">
        <f>+VLOOKUP($B22,'CSM  PRICE LIST 26.1.3'!$A$2:$E$110,5,FALSE)</f>
        <v>2190</v>
      </c>
      <c r="G22" s="9">
        <f t="shared" si="3"/>
        <v>1700</v>
      </c>
      <c r="H22" s="9">
        <f t="shared" si="5"/>
        <v>1500</v>
      </c>
      <c r="I22" s="9">
        <f t="shared" si="0"/>
        <v>1310</v>
      </c>
      <c r="J22" s="9">
        <f t="shared" si="1"/>
        <v>1095</v>
      </c>
      <c r="K22" s="10">
        <f t="shared" si="2"/>
        <v>660</v>
      </c>
      <c r="L22" s="7"/>
    </row>
    <row r="23" spans="2:12" ht="18.75" customHeight="1" x14ac:dyDescent="0.2">
      <c r="B23" s="15" t="s">
        <v>24</v>
      </c>
      <c r="C23" s="25" t="str">
        <f>+VLOOKUP($B23,'CSM  PRICE LIST 26.1.3'!$A$2:$E$110,2,FALSE)</f>
        <v>ACCESSORIES</v>
      </c>
      <c r="D23" s="32" t="str">
        <f>+VLOOKUP($B23,'CSM  PRICE LIST 26.1.3'!$A$2:$E$110,3,FALSE)</f>
        <v>KIŞLIK BİNİCİ ÇORABI
2'Lİ PAKET</v>
      </c>
      <c r="E23" s="16">
        <f>+VLOOKUP($B23,'CSM  PRICE LIST 26.1.3'!$A$2:$E$110,4,FALSE)</f>
        <v>39.9</v>
      </c>
      <c r="F23" s="9">
        <f>+VLOOKUP($B23,'CSM  PRICE LIST 26.1.3'!$A$2:$E$110,5,FALSE)</f>
        <v>2190</v>
      </c>
      <c r="G23" s="9">
        <f t="shared" si="3"/>
        <v>1700</v>
      </c>
      <c r="H23" s="9">
        <f t="shared" si="5"/>
        <v>1500</v>
      </c>
      <c r="I23" s="9">
        <f t="shared" si="0"/>
        <v>1310</v>
      </c>
      <c r="J23" s="9">
        <f t="shared" si="1"/>
        <v>1095</v>
      </c>
      <c r="K23" s="10">
        <f t="shared" si="2"/>
        <v>660</v>
      </c>
      <c r="L23" s="7"/>
    </row>
    <row r="24" spans="2:12" ht="18.75" customHeight="1" x14ac:dyDescent="0.2">
      <c r="B24" s="15" t="s">
        <v>29</v>
      </c>
      <c r="C24" s="25" t="str">
        <f>+VLOOKUP($B24,'CSM  PRICE LIST 26.1.3'!$A$2:$E$110,2,FALSE)</f>
        <v>ACCESSORIES</v>
      </c>
      <c r="D24" s="32" t="str">
        <f>+VLOOKUP($B24,'CSM  PRICE LIST 26.1.3'!$A$2:$E$110,3,FALSE)</f>
        <v>BOX PERDESİ</v>
      </c>
      <c r="E24" s="16">
        <f>+VLOOKUP($B24,'CSM  PRICE LIST 26.1.3'!$A$2:$E$110,4,FALSE)</f>
        <v>49.9</v>
      </c>
      <c r="F24" s="9">
        <f>+VLOOKUP($B24,'CSM  PRICE LIST 26.1.3'!$A$2:$E$110,5,FALSE)</f>
        <v>2740</v>
      </c>
      <c r="G24" s="9">
        <f t="shared" si="3"/>
        <v>2100</v>
      </c>
      <c r="H24" s="9">
        <f t="shared" si="5"/>
        <v>1900</v>
      </c>
      <c r="I24" s="9">
        <f t="shared" si="0"/>
        <v>1640</v>
      </c>
      <c r="J24" s="9">
        <f t="shared" si="1"/>
        <v>1370</v>
      </c>
      <c r="K24" s="10">
        <f t="shared" si="2"/>
        <v>830</v>
      </c>
      <c r="L24" s="7"/>
    </row>
    <row r="25" spans="2:12" ht="18.75" customHeight="1" x14ac:dyDescent="0.2">
      <c r="B25" s="15" t="s">
        <v>106</v>
      </c>
      <c r="C25" s="25" t="str">
        <f>+VLOOKUP($B25,'CSM  PRICE LIST 26.1.3'!$A$2:$E$110,2,FALSE)</f>
        <v>ACCESSORIES</v>
      </c>
      <c r="D25" s="32" t="str">
        <f>+VLOOKUP($B25,'CSM  PRICE LIST 26.1.3'!$A$2:$E$110,3,FALSE)</f>
        <v>ÖRGÜ KEMER</v>
      </c>
      <c r="E25" s="16">
        <f>+VLOOKUP($B25,'CSM  PRICE LIST 26.1.3'!$A$2:$E$110,4,FALSE)</f>
        <v>49.9</v>
      </c>
      <c r="F25" s="9">
        <f>+VLOOKUP($B25,'CSM  PRICE LIST 26.1.3'!$A$2:$E$110,5,FALSE)</f>
        <v>2740</v>
      </c>
      <c r="G25" s="9">
        <f>+ROUNDDOWN(F25*0.8,-2)</f>
        <v>2100</v>
      </c>
      <c r="H25" s="9">
        <f>+ROUNDDOWN(F25*0.7,-2)</f>
        <v>1900</v>
      </c>
      <c r="I25" s="9">
        <f t="shared" si="0"/>
        <v>1640</v>
      </c>
      <c r="J25" s="9">
        <f t="shared" si="1"/>
        <v>1370</v>
      </c>
      <c r="K25" s="10">
        <f t="shared" si="2"/>
        <v>830</v>
      </c>
      <c r="L25" s="7"/>
    </row>
    <row r="26" spans="2:12" ht="18.75" customHeight="1" x14ac:dyDescent="0.2">
      <c r="B26" s="15" t="s">
        <v>19</v>
      </c>
      <c r="C26" s="25" t="str">
        <f>+VLOOKUP($B26,'CSM  PRICE LIST 26.1.3'!$A$2:$E$110,2,FALSE)</f>
        <v>ACCESSORIES</v>
      </c>
      <c r="D26" s="32" t="str">
        <f>+VLOOKUP($B26,'CSM  PRICE LIST 26.1.3'!$A$2:$E$110,3,FALSE)</f>
        <v>ÖRGÜ KEMER</v>
      </c>
      <c r="E26" s="16">
        <f>+VLOOKUP($B26,'CSM  PRICE LIST 26.1.3'!$A$2:$E$110,4,FALSE)</f>
        <v>49.9</v>
      </c>
      <c r="F26" s="9">
        <f>+VLOOKUP($B26,'CSM  PRICE LIST 26.1.3'!$A$2:$E$110,5,FALSE)</f>
        <v>2740</v>
      </c>
      <c r="G26" s="9">
        <f t="shared" si="3"/>
        <v>2100</v>
      </c>
      <c r="H26" s="9">
        <f t="shared" ref="H26:H33" si="6">+ROUNDDOWN(F26*0.7,-2)</f>
        <v>1900</v>
      </c>
      <c r="I26" s="9">
        <f t="shared" si="0"/>
        <v>1640</v>
      </c>
      <c r="J26" s="9">
        <f t="shared" si="1"/>
        <v>1370</v>
      </c>
      <c r="K26" s="10">
        <f t="shared" si="2"/>
        <v>830</v>
      </c>
      <c r="L26" s="7"/>
    </row>
    <row r="27" spans="2:12" ht="18.75" customHeight="1" x14ac:dyDescent="0.2">
      <c r="B27" s="15" t="s">
        <v>137</v>
      </c>
      <c r="C27" s="25" t="str">
        <f>+VLOOKUP($B27,'CSM  PRICE LIST 26.1.3'!$A$2:$E$110,2,FALSE)</f>
        <v>ACCESSORIES</v>
      </c>
      <c r="D27" s="32" t="str">
        <f>+VLOOKUP($B27,'CSM  PRICE LIST 26.1.3'!$A$2:$E$110,3,FALSE)</f>
        <v>ÖRGÜ KEMER</v>
      </c>
      <c r="E27" s="16">
        <f>+VLOOKUP($B27,'CSM  PRICE LIST 26.1.3'!$A$2:$E$110,4,FALSE)</f>
        <v>59.9</v>
      </c>
      <c r="F27" s="9">
        <f>+VLOOKUP($B27,'CSM  PRICE LIST 26.1.3'!$A$2:$E$110,5,FALSE)</f>
        <v>3290</v>
      </c>
      <c r="G27" s="9">
        <f t="shared" si="3"/>
        <v>2600</v>
      </c>
      <c r="H27" s="9">
        <f t="shared" si="6"/>
        <v>2300</v>
      </c>
      <c r="I27" s="9">
        <f t="shared" si="0"/>
        <v>1970</v>
      </c>
      <c r="J27" s="9">
        <f t="shared" si="1"/>
        <v>1645</v>
      </c>
      <c r="K27" s="10">
        <f t="shared" si="2"/>
        <v>990</v>
      </c>
      <c r="L27" s="7"/>
    </row>
    <row r="28" spans="2:12" ht="18.75" customHeight="1" x14ac:dyDescent="0.2">
      <c r="B28" s="15" t="s">
        <v>28</v>
      </c>
      <c r="C28" s="25" t="str">
        <f>+VLOOKUP($B28,'CSM  PRICE LIST 26.1.3'!$A$2:$E$110,2,FALSE)</f>
        <v>ACCESSORIES</v>
      </c>
      <c r="D28" s="32" t="str">
        <f>+VLOOKUP($B28,'CSM  PRICE LIST 26.1.3'!$A$2:$E$110,3,FALSE)</f>
        <v>AHIR PERDESİ</v>
      </c>
      <c r="E28" s="16">
        <f>+VLOOKUP($B28,'CSM  PRICE LIST 26.1.3'!$A$2:$E$110,4,FALSE)</f>
        <v>99.9</v>
      </c>
      <c r="F28" s="9">
        <f>+VLOOKUP($B28,'CSM  PRICE LIST 26.1.3'!$A$2:$E$110,5,FALSE)</f>
        <v>5490</v>
      </c>
      <c r="G28" s="9">
        <f t="shared" si="3"/>
        <v>4300</v>
      </c>
      <c r="H28" s="9">
        <f t="shared" si="6"/>
        <v>3800</v>
      </c>
      <c r="I28" s="9">
        <f t="shared" si="0"/>
        <v>3290</v>
      </c>
      <c r="J28" s="9">
        <f t="shared" si="1"/>
        <v>2745</v>
      </c>
      <c r="K28" s="10">
        <f t="shared" si="2"/>
        <v>1650</v>
      </c>
      <c r="L28" s="7"/>
    </row>
    <row r="29" spans="2:12" ht="18.75" customHeight="1" x14ac:dyDescent="0.2">
      <c r="B29" s="15" t="s">
        <v>15</v>
      </c>
      <c r="C29" s="25" t="str">
        <f>+VLOOKUP($B29,'CSM  PRICE LIST 26.1.3'!$A$2:$E$110,2,FALSE)</f>
        <v>HORSE</v>
      </c>
      <c r="D29" s="32" t="str">
        <f>+VLOOKUP($B29,'CSM  PRICE LIST 26.1.3'!$A$2:$E$110,3,FALSE)</f>
        <v>ÖRME KULAKLIK</v>
      </c>
      <c r="E29" s="16">
        <f>+VLOOKUP($B29,'CSM  PRICE LIST 26.1.3'!$A$2:$E$110,4,FALSE)</f>
        <v>39.9</v>
      </c>
      <c r="F29" s="9">
        <f>+VLOOKUP($B29,'CSM  PRICE LIST 26.1.3'!$A$2:$E$110,5,FALSE)</f>
        <v>2190</v>
      </c>
      <c r="G29" s="9">
        <f t="shared" si="3"/>
        <v>1700</v>
      </c>
      <c r="H29" s="9">
        <f t="shared" si="6"/>
        <v>1500</v>
      </c>
      <c r="I29" s="9">
        <f t="shared" si="0"/>
        <v>1310</v>
      </c>
      <c r="J29" s="9">
        <f t="shared" si="1"/>
        <v>1095</v>
      </c>
      <c r="K29" s="10">
        <f t="shared" si="2"/>
        <v>660</v>
      </c>
      <c r="L29" s="7"/>
    </row>
    <row r="30" spans="2:12" ht="18.75" customHeight="1" x14ac:dyDescent="0.2">
      <c r="B30" s="15" t="s">
        <v>17</v>
      </c>
      <c r="C30" s="25" t="str">
        <f>+VLOOKUP($B30,'CSM  PRICE LIST 26.1.3'!$A$2:$E$110,2,FALSE)</f>
        <v>HORSE</v>
      </c>
      <c r="D30" s="32" t="str">
        <f>+VLOOKUP($B30,'CSM  PRICE LIST 26.1.3'!$A$2:$E$110,3,FALSE)</f>
        <v>ÖRME PONY KULAKLIK</v>
      </c>
      <c r="E30" s="16">
        <f>+VLOOKUP($B30,'CSM  PRICE LIST 26.1.3'!$A$2:$E$110,4,FALSE)</f>
        <v>39.9</v>
      </c>
      <c r="F30" s="9">
        <f>+VLOOKUP($B30,'CSM  PRICE LIST 26.1.3'!$A$2:$E$110,5,FALSE)</f>
        <v>2190</v>
      </c>
      <c r="G30" s="9">
        <f t="shared" si="3"/>
        <v>1700</v>
      </c>
      <c r="H30" s="9">
        <f t="shared" si="6"/>
        <v>1500</v>
      </c>
      <c r="I30" s="9">
        <f t="shared" si="0"/>
        <v>1310</v>
      </c>
      <c r="J30" s="9">
        <f t="shared" si="1"/>
        <v>1095</v>
      </c>
      <c r="K30" s="10">
        <f t="shared" si="2"/>
        <v>660</v>
      </c>
      <c r="L30" s="7"/>
    </row>
    <row r="31" spans="2:12" ht="18.75" customHeight="1" x14ac:dyDescent="0.2">
      <c r="B31" s="15" t="s">
        <v>91</v>
      </c>
      <c r="C31" s="25" t="str">
        <f>+VLOOKUP($B31,'CSM  PRICE LIST 26.1.3'!$A$2:$E$110,2,FALSE)</f>
        <v>HORSE</v>
      </c>
      <c r="D31" s="32" t="str">
        <f>+VLOOKUP($B31,'CSM  PRICE LIST 26.1.3'!$A$2:$E$110,3,FALSE)</f>
        <v>TECH SERİSİ KULAKLIK</v>
      </c>
      <c r="E31" s="16">
        <f>+VLOOKUP($B31,'CSM  PRICE LIST 26.1.3'!$A$2:$E$110,4,FALSE)</f>
        <v>49.9</v>
      </c>
      <c r="F31" s="9">
        <f>+VLOOKUP($B31,'CSM  PRICE LIST 26.1.3'!$A$2:$E$110,5,FALSE)</f>
        <v>2740</v>
      </c>
      <c r="G31" s="9">
        <f t="shared" si="3"/>
        <v>2100</v>
      </c>
      <c r="H31" s="9">
        <f t="shared" si="6"/>
        <v>1900</v>
      </c>
      <c r="I31" s="9">
        <f t="shared" si="0"/>
        <v>1640</v>
      </c>
      <c r="J31" s="9">
        <f t="shared" si="1"/>
        <v>1370</v>
      </c>
      <c r="K31" s="10">
        <f t="shared" si="2"/>
        <v>830</v>
      </c>
      <c r="L31" s="7"/>
    </row>
    <row r="32" spans="2:12" ht="18.75" customHeight="1" x14ac:dyDescent="0.2">
      <c r="B32" s="15" t="s">
        <v>74</v>
      </c>
      <c r="C32" s="25" t="str">
        <f>+VLOOKUP($B32,'CSM  PRICE LIST 26.1.3'!$A$2:$E$110,2,FALSE)</f>
        <v>HORSE</v>
      </c>
      <c r="D32" s="32" t="str">
        <f>+VLOOKUP($B32,'CSM  PRICE LIST 26.1.3'!$A$2:$E$110,3,FALSE)</f>
        <v>TECH SERİSİ PONY KULAKLIK</v>
      </c>
      <c r="E32" s="16">
        <f>+VLOOKUP($B32,'CSM  PRICE LIST 26.1.3'!$A$2:$E$110,4,FALSE)</f>
        <v>49.9</v>
      </c>
      <c r="F32" s="9">
        <f>+VLOOKUP($B32,'CSM  PRICE LIST 26.1.3'!$A$2:$E$110,5,FALSE)</f>
        <v>2740</v>
      </c>
      <c r="G32" s="9">
        <f t="shared" si="3"/>
        <v>2100</v>
      </c>
      <c r="H32" s="9">
        <f t="shared" si="6"/>
        <v>1900</v>
      </c>
      <c r="I32" s="9">
        <f t="shared" si="0"/>
        <v>1640</v>
      </c>
      <c r="J32" s="9">
        <f t="shared" si="1"/>
        <v>1370</v>
      </c>
      <c r="K32" s="10">
        <f t="shared" si="2"/>
        <v>830</v>
      </c>
      <c r="L32" s="7"/>
    </row>
    <row r="33" spans="2:12" ht="18.75" customHeight="1" x14ac:dyDescent="0.2">
      <c r="B33" s="15" t="s">
        <v>11</v>
      </c>
      <c r="C33" s="25" t="str">
        <f>+VLOOKUP($B33,'CSM  PRICE LIST 26.1.3'!$A$2:$E$110,2,FALSE)</f>
        <v>HORSE</v>
      </c>
      <c r="D33" s="32" t="str">
        <f>+VLOOKUP($B33,'CSM  PRICE LIST 26.1.3'!$A$2:$E$110,3,FALSE)</f>
        <v>POLAR ÇALIŞMA BLANKETİ</v>
      </c>
      <c r="E33" s="16">
        <f>+VLOOKUP($B33,'CSM  PRICE LIST 26.1.3'!$A$2:$E$110,4,FALSE)</f>
        <v>79.900000000000006</v>
      </c>
      <c r="F33" s="9">
        <f>+VLOOKUP($B33,'CSM  PRICE LIST 26.1.3'!$A$2:$E$110,5,FALSE)</f>
        <v>4390</v>
      </c>
      <c r="G33" s="9">
        <f t="shared" si="3"/>
        <v>3500</v>
      </c>
      <c r="H33" s="9">
        <f t="shared" si="6"/>
        <v>3000</v>
      </c>
      <c r="I33" s="9">
        <f t="shared" si="0"/>
        <v>2630</v>
      </c>
      <c r="J33" s="9">
        <f t="shared" si="1"/>
        <v>2195</v>
      </c>
      <c r="K33" s="10">
        <f t="shared" si="2"/>
        <v>1320</v>
      </c>
      <c r="L33" s="7"/>
    </row>
    <row r="34" spans="2:12" ht="18.75" customHeight="1" x14ac:dyDescent="0.2">
      <c r="B34" s="15" t="s">
        <v>93</v>
      </c>
      <c r="C34" s="25" t="str">
        <f>+VLOOKUP($B34,'CSM  PRICE LIST 26.1.3'!$A$2:$E$110,2,FALSE)</f>
        <v>HORSE</v>
      </c>
      <c r="D34" s="32" t="str">
        <f>+VLOOKUP($B34,'CSM  PRICE LIST 26.1.3'!$A$2:$E$110,3,FALSE)</f>
        <v>PONY POLAR ÇALIŞMA BLANKETİ</v>
      </c>
      <c r="E34" s="16">
        <f>+VLOOKUP($B34,'CSM  PRICE LIST 26.1.3'!$A$2:$E$110,4,FALSE)</f>
        <v>79.900000000000006</v>
      </c>
      <c r="F34" s="9">
        <f>+VLOOKUP($B34,'CSM  PRICE LIST 26.1.3'!$A$2:$E$110,5,FALSE)</f>
        <v>4390</v>
      </c>
      <c r="G34" s="9">
        <f>+ROUNDDOWN(F34*0.8,-2)</f>
        <v>3500</v>
      </c>
      <c r="H34" s="9">
        <f>+ROUNDDOWN(F34*0.7,-2)</f>
        <v>3000</v>
      </c>
      <c r="I34" s="9">
        <f t="shared" si="0"/>
        <v>2630</v>
      </c>
      <c r="J34" s="9">
        <f t="shared" si="1"/>
        <v>2195</v>
      </c>
      <c r="K34" s="10">
        <f t="shared" si="2"/>
        <v>1320</v>
      </c>
      <c r="L34" s="7"/>
    </row>
    <row r="35" spans="2:12" ht="18.75" customHeight="1" x14ac:dyDescent="0.2">
      <c r="B35" s="15" t="s">
        <v>3</v>
      </c>
      <c r="C35" s="25" t="str">
        <f>+VLOOKUP($B35,'CSM  PRICE LIST 26.1.3'!$A$2:$E$110,2,FALSE)</f>
        <v>HORSE</v>
      </c>
      <c r="D35" s="32" t="str">
        <f>+VLOOKUP($B35,'CSM  PRICE LIST 26.1.3'!$A$2:$E$110,3,FALSE)</f>
        <v>ELMAS DESEN EYER ALTI</v>
      </c>
      <c r="E35" s="16">
        <f>+VLOOKUP($B35,'CSM  PRICE LIST 26.1.3'!$A$2:$E$110,4,FALSE)</f>
        <v>79.900000000000006</v>
      </c>
      <c r="F35" s="9">
        <f>+VLOOKUP($B35,'CSM  PRICE LIST 26.1.3'!$A$2:$E$110,5,FALSE)</f>
        <v>4390</v>
      </c>
      <c r="G35" s="9">
        <f t="shared" si="3"/>
        <v>3500</v>
      </c>
      <c r="H35" s="9">
        <f t="shared" ref="H35:H47" si="7">+ROUNDDOWN(F35*0.7,-2)</f>
        <v>3000</v>
      </c>
      <c r="I35" s="9">
        <f t="shared" si="0"/>
        <v>2630</v>
      </c>
      <c r="J35" s="9">
        <f t="shared" si="1"/>
        <v>2195</v>
      </c>
      <c r="K35" s="10">
        <f t="shared" si="2"/>
        <v>1320</v>
      </c>
      <c r="L35" s="7"/>
    </row>
    <row r="36" spans="2:12" ht="18.75" customHeight="1" x14ac:dyDescent="0.2">
      <c r="B36" s="15" t="s">
        <v>5</v>
      </c>
      <c r="C36" s="25" t="str">
        <f>+VLOOKUP($B36,'CSM  PRICE LIST 26.1.3'!$A$2:$E$110,2,FALSE)</f>
        <v>HORSE</v>
      </c>
      <c r="D36" s="32" t="str">
        <f>+VLOOKUP($B36,'CSM  PRICE LIST 26.1.3'!$A$2:$E$110,3,FALSE)</f>
        <v>ELMAS DESEN PONY EYER ALTI</v>
      </c>
      <c r="E36" s="16">
        <f>+VLOOKUP($B36,'CSM  PRICE LIST 26.1.3'!$A$2:$E$110,4,FALSE)</f>
        <v>79.900000000000006</v>
      </c>
      <c r="F36" s="9">
        <f>+VLOOKUP($B36,'CSM  PRICE LIST 26.1.3'!$A$2:$E$110,5,FALSE)</f>
        <v>4390</v>
      </c>
      <c r="G36" s="9">
        <f t="shared" si="3"/>
        <v>3500</v>
      </c>
      <c r="H36" s="9">
        <f t="shared" si="7"/>
        <v>3000</v>
      </c>
      <c r="I36" s="9">
        <f t="shared" si="0"/>
        <v>2630</v>
      </c>
      <c r="J36" s="9">
        <f t="shared" si="1"/>
        <v>2195</v>
      </c>
      <c r="K36" s="10">
        <f t="shared" si="2"/>
        <v>1320</v>
      </c>
      <c r="L36" s="7"/>
    </row>
    <row r="37" spans="2:12" ht="18.75" customHeight="1" x14ac:dyDescent="0.2">
      <c r="B37" s="15" t="s">
        <v>92</v>
      </c>
      <c r="C37" s="25" t="str">
        <f>+VLOOKUP($B37,'CSM  PRICE LIST 26.1.3'!$A$2:$E$110,2,FALSE)</f>
        <v>HORSE</v>
      </c>
      <c r="D37" s="32" t="str">
        <f>+VLOOKUP($B37,'CSM  PRICE LIST 26.1.3'!$A$2:$E$110,3,FALSE)</f>
        <v>PETEK DESEN EYER ALTI</v>
      </c>
      <c r="E37" s="16">
        <f>+VLOOKUP($B37,'CSM  PRICE LIST 26.1.3'!$A$2:$E$110,4,FALSE)</f>
        <v>79.900000000000006</v>
      </c>
      <c r="F37" s="9">
        <f>+VLOOKUP($B37,'CSM  PRICE LIST 26.1.3'!$A$2:$E$110,5,FALSE)</f>
        <v>4390</v>
      </c>
      <c r="G37" s="9">
        <f t="shared" si="3"/>
        <v>3500</v>
      </c>
      <c r="H37" s="9">
        <f t="shared" si="7"/>
        <v>3000</v>
      </c>
      <c r="I37" s="9">
        <f t="shared" si="0"/>
        <v>2630</v>
      </c>
      <c r="J37" s="9">
        <f t="shared" si="1"/>
        <v>2195</v>
      </c>
      <c r="K37" s="10">
        <f t="shared" si="2"/>
        <v>1320</v>
      </c>
      <c r="L37" s="7"/>
    </row>
    <row r="38" spans="2:12" ht="18.75" customHeight="1" x14ac:dyDescent="0.2">
      <c r="B38" s="15" t="s">
        <v>6</v>
      </c>
      <c r="C38" s="25" t="str">
        <f>+VLOOKUP($B38,'CSM  PRICE LIST 26.1.3'!$A$2:$E$110,2,FALSE)</f>
        <v>HORSE</v>
      </c>
      <c r="D38" s="32" t="str">
        <f>+VLOOKUP($B38,'CSM  PRICE LIST 26.1.3'!$A$2:$E$110,3,FALSE)</f>
        <v>PETEK DESEN PONY EYER ALTI</v>
      </c>
      <c r="E38" s="16">
        <f>+VLOOKUP($B38,'CSM  PRICE LIST 26.1.3'!$A$2:$E$110,4,FALSE)</f>
        <v>79.900000000000006</v>
      </c>
      <c r="F38" s="9">
        <f>+VLOOKUP($B38,'CSM  PRICE LIST 26.1.3'!$A$2:$E$110,5,FALSE)</f>
        <v>4390</v>
      </c>
      <c r="G38" s="9">
        <f t="shared" si="3"/>
        <v>3500</v>
      </c>
      <c r="H38" s="9">
        <f t="shared" si="7"/>
        <v>3000</v>
      </c>
      <c r="I38" s="9">
        <f t="shared" si="0"/>
        <v>2630</v>
      </c>
      <c r="J38" s="9">
        <f t="shared" si="1"/>
        <v>2195</v>
      </c>
      <c r="K38" s="10">
        <f t="shared" si="2"/>
        <v>1320</v>
      </c>
      <c r="L38" s="7"/>
    </row>
    <row r="39" spans="2:12" ht="18.75" customHeight="1" x14ac:dyDescent="0.2">
      <c r="B39" s="15" t="s">
        <v>12</v>
      </c>
      <c r="C39" s="25" t="str">
        <f>+VLOOKUP($B39,'CSM  PRICE LIST 26.1.3'!$A$2:$E$110,2,FALSE)</f>
        <v>HORSE</v>
      </c>
      <c r="D39" s="32" t="str">
        <f>+VLOOKUP($B39,'CSM  PRICE LIST 26.1.3'!$A$2:$E$110,3,FALSE)</f>
        <v>SİNEKLİK BLANKET</v>
      </c>
      <c r="E39" s="16">
        <f>+VLOOKUP($B39,'CSM  PRICE LIST 26.1.3'!$A$2:$E$110,4,FALSE)</f>
        <v>79.900000000000006</v>
      </c>
      <c r="F39" s="9">
        <f>+VLOOKUP($B39,'CSM  PRICE LIST 26.1.3'!$A$2:$E$110,5,FALSE)</f>
        <v>4390</v>
      </c>
      <c r="G39" s="9">
        <f t="shared" si="3"/>
        <v>3500</v>
      </c>
      <c r="H39" s="9">
        <f t="shared" si="7"/>
        <v>3000</v>
      </c>
      <c r="I39" s="9">
        <f t="shared" si="0"/>
        <v>2630</v>
      </c>
      <c r="J39" s="9">
        <f t="shared" si="1"/>
        <v>2195</v>
      </c>
      <c r="K39" s="10">
        <f t="shared" si="2"/>
        <v>1320</v>
      </c>
      <c r="L39" s="7"/>
    </row>
    <row r="40" spans="2:12" ht="18.75" customHeight="1" x14ac:dyDescent="0.2">
      <c r="B40" s="15" t="s">
        <v>95</v>
      </c>
      <c r="C40" s="25" t="str">
        <f>+VLOOKUP($B40,'CSM  PRICE LIST 26.1.3'!$A$2:$E$110,2,FALSE)</f>
        <v>HORSE</v>
      </c>
      <c r="D40" s="32" t="str">
        <f>+VLOOKUP($B40,'CSM  PRICE LIST 26.1.3'!$A$2:$E$110,3,FALSE)</f>
        <v>PONY SİNEKLİK BLANKET</v>
      </c>
      <c r="E40" s="16">
        <f>+VLOOKUP($B40,'CSM  PRICE LIST 26.1.3'!$A$2:$E$110,4,FALSE)</f>
        <v>79.900000000000006</v>
      </c>
      <c r="F40" s="9">
        <f>+VLOOKUP($B40,'CSM  PRICE LIST 26.1.3'!$A$2:$E$110,5,FALSE)</f>
        <v>4390</v>
      </c>
      <c r="G40" s="9">
        <f t="shared" si="3"/>
        <v>3500</v>
      </c>
      <c r="H40" s="9">
        <f t="shared" si="7"/>
        <v>3000</v>
      </c>
      <c r="I40" s="9">
        <f t="shared" si="0"/>
        <v>2630</v>
      </c>
      <c r="J40" s="9">
        <f t="shared" si="1"/>
        <v>2195</v>
      </c>
      <c r="K40" s="10">
        <f t="shared" si="2"/>
        <v>1320</v>
      </c>
      <c r="L40" s="7"/>
    </row>
    <row r="41" spans="2:12" ht="18.75" customHeight="1" x14ac:dyDescent="0.2">
      <c r="B41" s="15" t="s">
        <v>7</v>
      </c>
      <c r="C41" s="25" t="str">
        <f>+VLOOKUP($B41,'CSM  PRICE LIST 26.1.3'!$A$2:$E$110,2,FALSE)</f>
        <v>HORSE</v>
      </c>
      <c r="D41" s="32" t="str">
        <f>+VLOOKUP($B41,'CSM  PRICE LIST 26.1.3'!$A$2:$E$110,3,FALSE)</f>
        <v>POLAR BLANKET</v>
      </c>
      <c r="E41" s="16">
        <f>+VLOOKUP($B41,'CSM  PRICE LIST 26.1.3'!$A$2:$E$110,4,FALSE)</f>
        <v>89.9</v>
      </c>
      <c r="F41" s="9">
        <f>+VLOOKUP($B41,'CSM  PRICE LIST 26.1.3'!$A$2:$E$110,5,FALSE)</f>
        <v>4940</v>
      </c>
      <c r="G41" s="9">
        <f t="shared" si="3"/>
        <v>3900</v>
      </c>
      <c r="H41" s="9">
        <f t="shared" si="7"/>
        <v>3400</v>
      </c>
      <c r="I41" s="9">
        <f t="shared" si="0"/>
        <v>2960</v>
      </c>
      <c r="J41" s="9">
        <f t="shared" si="1"/>
        <v>2470</v>
      </c>
      <c r="K41" s="10">
        <f t="shared" si="2"/>
        <v>1490</v>
      </c>
      <c r="L41" s="7"/>
    </row>
    <row r="42" spans="2:12" ht="18.75" customHeight="1" x14ac:dyDescent="0.2">
      <c r="B42" s="15" t="s">
        <v>94</v>
      </c>
      <c r="C42" s="25" t="str">
        <f>+VLOOKUP($B42,'CSM  PRICE LIST 26.1.3'!$A$2:$E$110,2,FALSE)</f>
        <v>HORSE</v>
      </c>
      <c r="D42" s="32" t="str">
        <f>+VLOOKUP($B42,'CSM  PRICE LIST 26.1.3'!$A$2:$E$110,3,FALSE)</f>
        <v>PONY POLAR BLANKET</v>
      </c>
      <c r="E42" s="16">
        <f>+VLOOKUP($B42,'CSM  PRICE LIST 26.1.3'!$A$2:$E$110,4,FALSE)</f>
        <v>89.9</v>
      </c>
      <c r="F42" s="9">
        <f>+VLOOKUP($B42,'CSM  PRICE LIST 26.1.3'!$A$2:$E$110,5,FALSE)</f>
        <v>4940</v>
      </c>
      <c r="G42" s="9">
        <f t="shared" si="3"/>
        <v>3900</v>
      </c>
      <c r="H42" s="9">
        <f t="shared" si="7"/>
        <v>3400</v>
      </c>
      <c r="I42" s="9">
        <f t="shared" si="0"/>
        <v>2960</v>
      </c>
      <c r="J42" s="9">
        <f t="shared" si="1"/>
        <v>2470</v>
      </c>
      <c r="K42" s="10">
        <f t="shared" si="2"/>
        <v>1490</v>
      </c>
      <c r="L42" s="7"/>
    </row>
    <row r="43" spans="2:12" ht="18.75" customHeight="1" x14ac:dyDescent="0.2">
      <c r="B43" s="15" t="s">
        <v>9</v>
      </c>
      <c r="C43" s="25" t="str">
        <f>+VLOOKUP($B43,'CSM  PRICE LIST 26.1.3'!$A$2:$E$110,2,FALSE)</f>
        <v>HORSE</v>
      </c>
      <c r="D43" s="32" t="str">
        <f>+VLOOKUP($B43,'CSM  PRICE LIST 26.1.3'!$A$2:$E$110,3,FALSE)</f>
        <v>TER BLANKETİ</v>
      </c>
      <c r="E43" s="16">
        <f>+VLOOKUP($B43,'CSM  PRICE LIST 26.1.3'!$A$2:$E$110,4,FALSE)</f>
        <v>99.9</v>
      </c>
      <c r="F43" s="9">
        <f>+VLOOKUP($B43,'CSM  PRICE LIST 26.1.3'!$A$2:$E$110,5,FALSE)</f>
        <v>5490</v>
      </c>
      <c r="G43" s="9">
        <f t="shared" si="3"/>
        <v>4300</v>
      </c>
      <c r="H43" s="9">
        <f t="shared" si="7"/>
        <v>3800</v>
      </c>
      <c r="I43" s="9">
        <f t="shared" ref="I43:I74" si="8">+ROUNDDOWN(F43*0.6,-1)</f>
        <v>3290</v>
      </c>
      <c r="J43" s="9">
        <f t="shared" ref="J43:J74" si="9">ROUNDUP(+F43*0.5,0)</f>
        <v>2745</v>
      </c>
      <c r="K43" s="10">
        <f t="shared" ref="K43:K74" si="10">ROUNDUP(+F43*0.3,-1)</f>
        <v>1650</v>
      </c>
      <c r="L43" s="7"/>
    </row>
    <row r="44" spans="2:12" ht="18.75" customHeight="1" x14ac:dyDescent="0.2">
      <c r="B44" s="15" t="s">
        <v>97</v>
      </c>
      <c r="C44" s="25" t="str">
        <f>+VLOOKUP($B44,'CSM  PRICE LIST 26.1.3'!$A$2:$E$110,2,FALSE)</f>
        <v>HORSE</v>
      </c>
      <c r="D44" s="32" t="str">
        <f>+VLOOKUP($B44,'CSM  PRICE LIST 26.1.3'!$A$2:$E$110,3,FALSE)</f>
        <v>PONY TER BLANKETİ</v>
      </c>
      <c r="E44" s="16">
        <f>+VLOOKUP($B44,'CSM  PRICE LIST 26.1.3'!$A$2:$E$110,4,FALSE)</f>
        <v>99.9</v>
      </c>
      <c r="F44" s="9">
        <f>+VLOOKUP($B44,'CSM  PRICE LIST 26.1.3'!$A$2:$E$110,5,FALSE)</f>
        <v>5490</v>
      </c>
      <c r="G44" s="9">
        <f t="shared" si="3"/>
        <v>4300</v>
      </c>
      <c r="H44" s="9">
        <f t="shared" si="7"/>
        <v>3800</v>
      </c>
      <c r="I44" s="9">
        <f t="shared" si="8"/>
        <v>3290</v>
      </c>
      <c r="J44" s="9">
        <f t="shared" si="9"/>
        <v>2745</v>
      </c>
      <c r="K44" s="10">
        <f t="shared" si="10"/>
        <v>1650</v>
      </c>
      <c r="L44" s="7"/>
    </row>
    <row r="45" spans="2:12" ht="18.75" customHeight="1" x14ac:dyDescent="0.2">
      <c r="B45" s="15" t="s">
        <v>88</v>
      </c>
      <c r="C45" s="25" t="str">
        <f>+VLOOKUP($B45,'CSM  PRICE LIST 26.1.3'!$A$2:$E$110,2,FALSE)</f>
        <v>HORSE</v>
      </c>
      <c r="D45" s="32" t="str">
        <f>+VLOOKUP($B45,'CSM  PRICE LIST 26.1.3'!$A$2:$E$110,3,FALSE)</f>
        <v>HERITAGE DIAMOND DESEN EYER ALTI</v>
      </c>
      <c r="E45" s="16">
        <f>+VLOOKUP($B45,'CSM  PRICE LIST 26.1.3'!$A$2:$E$110,4,FALSE)</f>
        <v>99.9</v>
      </c>
      <c r="F45" s="9">
        <f>+VLOOKUP($B45,'CSM  PRICE LIST 26.1.3'!$A$2:$E$110,5,FALSE)</f>
        <v>5490</v>
      </c>
      <c r="G45" s="9">
        <f t="shared" si="3"/>
        <v>4300</v>
      </c>
      <c r="H45" s="9">
        <f t="shared" si="7"/>
        <v>3800</v>
      </c>
      <c r="I45" s="9">
        <f t="shared" si="8"/>
        <v>3290</v>
      </c>
      <c r="J45" s="9">
        <f t="shared" si="9"/>
        <v>2745</v>
      </c>
      <c r="K45" s="10">
        <f t="shared" si="10"/>
        <v>1650</v>
      </c>
      <c r="L45" s="7"/>
    </row>
    <row r="46" spans="2:12" ht="18.75" customHeight="1" x14ac:dyDescent="0.2">
      <c r="B46" s="15" t="s">
        <v>4</v>
      </c>
      <c r="C46" s="25" t="str">
        <f>+VLOOKUP($B46,'CSM  PRICE LIST 26.1.3'!$A$2:$E$110,2,FALSE)</f>
        <v>HORSE</v>
      </c>
      <c r="D46" s="32" t="str">
        <f>+VLOOKUP($B46,'CSM  PRICE LIST 26.1.3'!$A$2:$E$110,3,FALSE)</f>
        <v>SÜET EYER ALTI</v>
      </c>
      <c r="E46" s="16">
        <f>+VLOOKUP($B46,'CSM  PRICE LIST 26.1.3'!$A$2:$E$110,4,FALSE)</f>
        <v>99.9</v>
      </c>
      <c r="F46" s="9">
        <f>+VLOOKUP($B46,'CSM  PRICE LIST 26.1.3'!$A$2:$E$110,5,FALSE)</f>
        <v>5490</v>
      </c>
      <c r="G46" s="9">
        <f t="shared" si="3"/>
        <v>4300</v>
      </c>
      <c r="H46" s="9">
        <f t="shared" si="7"/>
        <v>3800</v>
      </c>
      <c r="I46" s="9">
        <f t="shared" si="8"/>
        <v>3290</v>
      </c>
      <c r="J46" s="9">
        <f t="shared" si="9"/>
        <v>2745</v>
      </c>
      <c r="K46" s="10">
        <f t="shared" si="10"/>
        <v>1650</v>
      </c>
      <c r="L46" s="7"/>
    </row>
    <row r="47" spans="2:12" ht="18.75" customHeight="1" x14ac:dyDescent="0.2">
      <c r="B47" s="15" t="s">
        <v>2</v>
      </c>
      <c r="C47" s="25" t="str">
        <f>+VLOOKUP($B47,'CSM  PRICE LIST 26.1.3'!$A$2:$E$110,2,FALSE)</f>
        <v>HORSE</v>
      </c>
      <c r="D47" s="32" t="str">
        <f>+VLOOKUP($B47,'CSM  PRICE LIST 26.1.3'!$A$2:$E$110,3,FALSE)</f>
        <v>YAĞMUR GEÇİRMEZ ÇALIŞMA BLANKETİ</v>
      </c>
      <c r="E47" s="16">
        <f>+VLOOKUP($B47,'CSM  PRICE LIST 26.1.3'!$A$2:$E$110,4,FALSE)</f>
        <v>99.9</v>
      </c>
      <c r="F47" s="9">
        <f>+VLOOKUP($B47,'CSM  PRICE LIST 26.1.3'!$A$2:$E$110,5,FALSE)</f>
        <v>5490</v>
      </c>
      <c r="G47" s="9">
        <f t="shared" si="3"/>
        <v>4300</v>
      </c>
      <c r="H47" s="9">
        <f t="shared" si="7"/>
        <v>3800</v>
      </c>
      <c r="I47" s="9">
        <f t="shared" si="8"/>
        <v>3290</v>
      </c>
      <c r="J47" s="9">
        <f t="shared" si="9"/>
        <v>2745</v>
      </c>
      <c r="K47" s="10">
        <f t="shared" si="10"/>
        <v>1650</v>
      </c>
      <c r="L47" s="7"/>
    </row>
    <row r="48" spans="2:12" ht="18.75" customHeight="1" x14ac:dyDescent="0.2">
      <c r="B48" s="15" t="s">
        <v>99</v>
      </c>
      <c r="C48" s="25" t="str">
        <f>+VLOOKUP($B48,'CSM  PRICE LIST 26.1.3'!$A$2:$E$110,2,FALSE)</f>
        <v>HORSE</v>
      </c>
      <c r="D48" s="32" t="str">
        <f>+VLOOKUP($B48,'CSM  PRICE LIST 26.1.3'!$A$2:$E$110,3,FALSE)</f>
        <v>PONY YAĞMUR GEÇİRMEZ ÇALIŞMA BLANKETİ</v>
      </c>
      <c r="E48" s="16">
        <f>+VLOOKUP($B48,'CSM  PRICE LIST 26.1.3'!$A$2:$E$110,4,FALSE)</f>
        <v>99.9</v>
      </c>
      <c r="F48" s="9">
        <f>+VLOOKUP($B48,'CSM  PRICE LIST 26.1.3'!$A$2:$E$110,5,FALSE)</f>
        <v>5490</v>
      </c>
      <c r="G48" s="9">
        <f>+ROUNDDOWN(F48*0.8,-2)</f>
        <v>4300</v>
      </c>
      <c r="H48" s="9">
        <f>+ROUNDDOWN(F48*0.7,-2)</f>
        <v>3800</v>
      </c>
      <c r="I48" s="9">
        <f t="shared" si="8"/>
        <v>3290</v>
      </c>
      <c r="J48" s="9">
        <f t="shared" si="9"/>
        <v>2745</v>
      </c>
      <c r="K48" s="10">
        <f t="shared" si="10"/>
        <v>1650</v>
      </c>
      <c r="L48" s="7"/>
    </row>
    <row r="49" spans="2:12" ht="18.75" customHeight="1" x14ac:dyDescent="0.2">
      <c r="B49" s="15" t="s">
        <v>8</v>
      </c>
      <c r="C49" s="25" t="str">
        <f>+VLOOKUP($B49,'CSM  PRICE LIST 26.1.3'!$A$2:$E$110,2,FALSE)</f>
        <v>HORSE</v>
      </c>
      <c r="D49" s="32" t="str">
        <f>+VLOOKUP($B49,'CSM  PRICE LIST 26.1.3'!$A$2:$E$110,3,FALSE)</f>
        <v>YAKALI POLAR BLANKET</v>
      </c>
      <c r="E49" s="16">
        <f>+VLOOKUP($B49,'CSM  PRICE LIST 26.1.3'!$A$2:$E$110,4,FALSE)</f>
        <v>99.9</v>
      </c>
      <c r="F49" s="9">
        <f>+VLOOKUP($B49,'CSM  PRICE LIST 26.1.3'!$A$2:$E$110,5,FALSE)</f>
        <v>5490</v>
      </c>
      <c r="G49" s="9">
        <f t="shared" si="3"/>
        <v>4300</v>
      </c>
      <c r="H49" s="9">
        <f t="shared" ref="H49:H54" si="11">+ROUNDDOWN(F49*0.7,-2)</f>
        <v>3800</v>
      </c>
      <c r="I49" s="9">
        <f t="shared" si="8"/>
        <v>3290</v>
      </c>
      <c r="J49" s="9">
        <f t="shared" si="9"/>
        <v>2745</v>
      </c>
      <c r="K49" s="10">
        <f t="shared" si="10"/>
        <v>1650</v>
      </c>
      <c r="L49" s="7"/>
    </row>
    <row r="50" spans="2:12" ht="18.75" customHeight="1" x14ac:dyDescent="0.2">
      <c r="B50" s="15" t="s">
        <v>96</v>
      </c>
      <c r="C50" s="25" t="str">
        <f>+VLOOKUP($B50,'CSM  PRICE LIST 26.1.3'!$A$2:$E$110,2,FALSE)</f>
        <v>HORSE</v>
      </c>
      <c r="D50" s="32" t="str">
        <f>+VLOOKUP($B50,'CSM  PRICE LIST 26.1.3'!$A$2:$E$110,3,FALSE)</f>
        <v>YAKALI PONY POLAR BLANKET</v>
      </c>
      <c r="E50" s="16">
        <f>+VLOOKUP($B50,'CSM  PRICE LIST 26.1.3'!$A$2:$E$110,4,FALSE)</f>
        <v>99.9</v>
      </c>
      <c r="F50" s="9">
        <f>+VLOOKUP($B50,'CSM  PRICE LIST 26.1.3'!$A$2:$E$110,5,FALSE)</f>
        <v>5490</v>
      </c>
      <c r="G50" s="9">
        <f t="shared" si="3"/>
        <v>4300</v>
      </c>
      <c r="H50" s="9">
        <f t="shared" si="11"/>
        <v>3800</v>
      </c>
      <c r="I50" s="9">
        <f t="shared" si="8"/>
        <v>3290</v>
      </c>
      <c r="J50" s="9">
        <f t="shared" si="9"/>
        <v>2745</v>
      </c>
      <c r="K50" s="10">
        <f t="shared" si="10"/>
        <v>1650</v>
      </c>
      <c r="L50" s="7"/>
    </row>
    <row r="51" spans="2:12" ht="18.75" customHeight="1" x14ac:dyDescent="0.2">
      <c r="B51" s="15" t="s">
        <v>10</v>
      </c>
      <c r="C51" s="25" t="str">
        <f>+VLOOKUP($B51,'CSM  PRICE LIST 26.1.3'!$A$2:$E$110,2,FALSE)</f>
        <v>HORSE</v>
      </c>
      <c r="D51" s="32" t="str">
        <f>+VLOOKUP($B51,'CSM  PRICE LIST 26.1.3'!$A$2:$E$110,3,FALSE)</f>
        <v>ÇİFT RENK POLAR BLANKET</v>
      </c>
      <c r="E51" s="16">
        <f>+VLOOKUP($B51,'CSM  PRICE LIST 26.1.3'!$A$2:$E$110,4,FALSE)</f>
        <v>99.9</v>
      </c>
      <c r="F51" s="9">
        <f>+VLOOKUP($B51,'CSM  PRICE LIST 26.1.3'!$A$2:$E$110,5,FALSE)</f>
        <v>5490</v>
      </c>
      <c r="G51" s="9">
        <f t="shared" si="3"/>
        <v>4300</v>
      </c>
      <c r="H51" s="9">
        <f t="shared" si="11"/>
        <v>3800</v>
      </c>
      <c r="I51" s="9">
        <f t="shared" si="8"/>
        <v>3290</v>
      </c>
      <c r="J51" s="9">
        <f t="shared" si="9"/>
        <v>2745</v>
      </c>
      <c r="K51" s="10">
        <f t="shared" si="10"/>
        <v>1650</v>
      </c>
      <c r="L51" s="7"/>
    </row>
    <row r="52" spans="2:12" ht="18.75" customHeight="1" x14ac:dyDescent="0.2">
      <c r="B52" s="15" t="s">
        <v>98</v>
      </c>
      <c r="C52" s="25" t="str">
        <f>+VLOOKUP($B52,'CSM  PRICE LIST 26.1.3'!$A$2:$E$110,2,FALSE)</f>
        <v>HORSE</v>
      </c>
      <c r="D52" s="32" t="str">
        <f>+VLOOKUP($B52,'CSM  PRICE LIST 26.1.3'!$A$2:$E$110,3,FALSE)</f>
        <v>ÇİFT RENK PONY POLAR BLANKET</v>
      </c>
      <c r="E52" s="16">
        <f>+VLOOKUP($B52,'CSM  PRICE LIST 26.1.3'!$A$2:$E$110,4,FALSE)</f>
        <v>99.9</v>
      </c>
      <c r="F52" s="9">
        <f>+VLOOKUP($B52,'CSM  PRICE LIST 26.1.3'!$A$2:$E$110,5,FALSE)</f>
        <v>5490</v>
      </c>
      <c r="G52" s="9">
        <f t="shared" si="3"/>
        <v>4300</v>
      </c>
      <c r="H52" s="9">
        <f t="shared" si="11"/>
        <v>3800</v>
      </c>
      <c r="I52" s="9">
        <f t="shared" si="8"/>
        <v>3290</v>
      </c>
      <c r="J52" s="9">
        <f t="shared" si="9"/>
        <v>2745</v>
      </c>
      <c r="K52" s="10">
        <f t="shared" si="10"/>
        <v>1650</v>
      </c>
      <c r="L52" s="7"/>
    </row>
    <row r="53" spans="2:12" ht="18.75" customHeight="1" x14ac:dyDescent="0.2">
      <c r="B53" s="15" t="s">
        <v>109</v>
      </c>
      <c r="C53" s="25" t="str">
        <f>+VLOOKUP($B53,'CSM  PRICE LIST 26.1.3'!$A$2:$E$110,2,FALSE)</f>
        <v>HORSE</v>
      </c>
      <c r="D53" s="32" t="str">
        <f>+VLOOKUP($B53,'CSM  PRICE LIST 26.1.3'!$A$2:$E$110,3,FALSE)</f>
        <v>MEVSİMLİK AHIR BLANKETİ</v>
      </c>
      <c r="E53" s="16">
        <f>+VLOOKUP($B53,'CSM  PRICE LIST 26.1.3'!$A$2:$E$110,4,FALSE)</f>
        <v>189.9</v>
      </c>
      <c r="F53" s="9">
        <f>+VLOOKUP($B53,'CSM  PRICE LIST 26.1.3'!$A$2:$E$110,5,FALSE)</f>
        <v>10440</v>
      </c>
      <c r="G53" s="9">
        <f t="shared" si="3"/>
        <v>8300</v>
      </c>
      <c r="H53" s="9">
        <f t="shared" si="11"/>
        <v>7300</v>
      </c>
      <c r="I53" s="9">
        <f t="shared" si="8"/>
        <v>6260</v>
      </c>
      <c r="J53" s="9">
        <f t="shared" si="9"/>
        <v>5220</v>
      </c>
      <c r="K53" s="10">
        <f t="shared" si="10"/>
        <v>3140</v>
      </c>
      <c r="L53" s="7"/>
    </row>
    <row r="54" spans="2:12" ht="18.75" customHeight="1" x14ac:dyDescent="0.2">
      <c r="B54" s="15" t="s">
        <v>108</v>
      </c>
      <c r="C54" s="25" t="str">
        <f>+VLOOKUP($B54,'CSM  PRICE LIST 26.1.3'!$A$2:$E$110,2,FALSE)</f>
        <v>HORSE</v>
      </c>
      <c r="D54" s="32" t="str">
        <f>+VLOOKUP($B54,'CSM  PRICE LIST 26.1.3'!$A$2:$E$110,3,FALSE)</f>
        <v>MEVSİMLİK PONY AHIR BLANKETİ</v>
      </c>
      <c r="E54" s="16">
        <f>+VLOOKUP($B54,'CSM  PRICE LIST 26.1.3'!$A$2:$E$110,4,FALSE)</f>
        <v>189.9</v>
      </c>
      <c r="F54" s="9">
        <f>+VLOOKUP($B54,'CSM  PRICE LIST 26.1.3'!$A$2:$E$110,5,FALSE)</f>
        <v>10440</v>
      </c>
      <c r="G54" s="9">
        <f t="shared" si="3"/>
        <v>8300</v>
      </c>
      <c r="H54" s="9">
        <f t="shared" si="11"/>
        <v>7300</v>
      </c>
      <c r="I54" s="9">
        <f t="shared" si="8"/>
        <v>6260</v>
      </c>
      <c r="J54" s="9">
        <f t="shared" si="9"/>
        <v>5220</v>
      </c>
      <c r="K54" s="10">
        <f t="shared" si="10"/>
        <v>3140</v>
      </c>
      <c r="L54" s="7"/>
    </row>
    <row r="55" spans="2:12" ht="18.75" customHeight="1" x14ac:dyDescent="0.2">
      <c r="B55" s="15" t="s">
        <v>13</v>
      </c>
      <c r="C55" s="25" t="str">
        <f>+VLOOKUP($B55,'CSM  PRICE LIST 26.1.3'!$A$2:$E$110,2,FALSE)</f>
        <v>HORSE</v>
      </c>
      <c r="D55" s="32" t="str">
        <f>+VLOOKUP($B55,'CSM  PRICE LIST 26.1.3'!$A$2:$E$110,3,FALSE)</f>
        <v>KIŞLIK AHIR BLANKETİ</v>
      </c>
      <c r="E55" s="16">
        <f>+VLOOKUP($B55,'CSM  PRICE LIST 26.1.3'!$A$2:$E$110,4,FALSE)</f>
        <v>249.9</v>
      </c>
      <c r="F55" s="9">
        <f>+VLOOKUP($B55,'CSM  PRICE LIST 26.1.3'!$A$2:$E$110,5,FALSE)</f>
        <v>13740</v>
      </c>
      <c r="G55" s="9">
        <f>+ROUNDDOWN(F55*0.8,-2)</f>
        <v>10900</v>
      </c>
      <c r="H55" s="9">
        <f>+ROUNDDOWN(F55*0.7,-2)</f>
        <v>9600</v>
      </c>
      <c r="I55" s="9">
        <f t="shared" si="8"/>
        <v>8240</v>
      </c>
      <c r="J55" s="9">
        <f t="shared" si="9"/>
        <v>6870</v>
      </c>
      <c r="K55" s="10">
        <f t="shared" si="10"/>
        <v>4130</v>
      </c>
      <c r="L55" s="7"/>
    </row>
    <row r="56" spans="2:12" ht="18.75" customHeight="1" x14ac:dyDescent="0.2">
      <c r="B56" s="15" t="s">
        <v>100</v>
      </c>
      <c r="C56" s="25" t="str">
        <f>+VLOOKUP($B56,'CSM  PRICE LIST 26.1.3'!$A$2:$E$110,2,FALSE)</f>
        <v>HORSE</v>
      </c>
      <c r="D56" s="32" t="str">
        <f>+VLOOKUP($B56,'CSM  PRICE LIST 26.1.3'!$A$2:$E$110,3,FALSE)</f>
        <v>PONY KIŞLIK AHIR BLANKETİ</v>
      </c>
      <c r="E56" s="16">
        <f>+VLOOKUP($B56,'CSM  PRICE LIST 26.1.3'!$A$2:$E$110,4,FALSE)</f>
        <v>249.9</v>
      </c>
      <c r="F56" s="9">
        <f>+VLOOKUP($B56,'CSM  PRICE LIST 26.1.3'!$A$2:$E$110,5,FALSE)</f>
        <v>13740</v>
      </c>
      <c r="G56" s="9">
        <f>+ROUNDDOWN(F56*0.8,-2)</f>
        <v>10900</v>
      </c>
      <c r="H56" s="9">
        <f>+ROUNDDOWN(F56*0.7,-2)</f>
        <v>9600</v>
      </c>
      <c r="I56" s="9">
        <f t="shared" si="8"/>
        <v>8240</v>
      </c>
      <c r="J56" s="9">
        <f t="shared" si="9"/>
        <v>6870</v>
      </c>
      <c r="K56" s="10">
        <f t="shared" si="10"/>
        <v>4130</v>
      </c>
      <c r="L56" s="7"/>
    </row>
    <row r="57" spans="2:12" ht="18.75" customHeight="1" x14ac:dyDescent="0.2">
      <c r="B57" s="15" t="s">
        <v>40</v>
      </c>
      <c r="C57" s="25" t="str">
        <f>+VLOOKUP($B57,'CSM  PRICE LIST 26.1.3'!$A$2:$E$110,2,FALSE)</f>
        <v>RIDER</v>
      </c>
      <c r="D57" s="32" t="str">
        <f>+VLOOKUP($B57,'CSM  PRICE LIST 26.1.3'!$A$2:$E$110,3,FALSE)</f>
        <v>ERKEK ÇOCUK KISA KOL SOFT ANTRENMAN POLO</v>
      </c>
      <c r="E57" s="16">
        <f>+VLOOKUP($B57,'CSM  PRICE LIST 26.1.3'!$A$2:$E$110,4,FALSE)</f>
        <v>49.9</v>
      </c>
      <c r="F57" s="9">
        <f>+VLOOKUP($B57,'CSM  PRICE LIST 26.1.3'!$A$2:$E$110,5,FALSE)</f>
        <v>2740</v>
      </c>
      <c r="G57" s="9">
        <f t="shared" ref="G57" si="12">+ROUNDDOWN(F57*0.8,-2)</f>
        <v>2100</v>
      </c>
      <c r="H57" s="9">
        <f t="shared" ref="H57" si="13">+ROUNDDOWN(F57*0.7,-2)</f>
        <v>1900</v>
      </c>
      <c r="I57" s="9">
        <f t="shared" si="8"/>
        <v>1640</v>
      </c>
      <c r="J57" s="9">
        <f t="shared" si="9"/>
        <v>1370</v>
      </c>
      <c r="K57" s="10">
        <f t="shared" si="10"/>
        <v>830</v>
      </c>
      <c r="L57" s="7"/>
    </row>
    <row r="58" spans="2:12" ht="18.75" customHeight="1" x14ac:dyDescent="0.2">
      <c r="B58" s="15" t="s">
        <v>42</v>
      </c>
      <c r="C58" s="25" t="str">
        <f>+VLOOKUP($B58,'CSM  PRICE LIST 26.1.3'!$A$2:$E$110,2,FALSE)</f>
        <v>RIDER</v>
      </c>
      <c r="D58" s="32" t="str">
        <f>+VLOOKUP($B58,'CSM  PRICE LIST 26.1.3'!$A$2:$E$110,3,FALSE)</f>
        <v>KIZ ÇOCUK KISA KOL YARIŞMA POLO</v>
      </c>
      <c r="E58" s="16">
        <f>+VLOOKUP($B58,'CSM  PRICE LIST 26.1.3'!$A$2:$E$110,4,FALSE)</f>
        <v>59.9</v>
      </c>
      <c r="F58" s="9">
        <f>+VLOOKUP($B58,'CSM  PRICE LIST 26.1.3'!$A$2:$E$110,5,FALSE)</f>
        <v>3290</v>
      </c>
      <c r="G58" s="9">
        <f>+ROUNDDOWN(F58*0.8,-2)</f>
        <v>2600</v>
      </c>
      <c r="H58" s="9">
        <f>+ROUNDDOWN(F58*0.7,-2)</f>
        <v>2300</v>
      </c>
      <c r="I58" s="9">
        <f t="shared" si="8"/>
        <v>1970</v>
      </c>
      <c r="J58" s="9">
        <f t="shared" si="9"/>
        <v>1645</v>
      </c>
      <c r="K58" s="10">
        <f t="shared" si="10"/>
        <v>990</v>
      </c>
      <c r="L58" s="7"/>
    </row>
    <row r="59" spans="2:12" ht="18.75" customHeight="1" x14ac:dyDescent="0.2">
      <c r="B59" s="15" t="s">
        <v>38</v>
      </c>
      <c r="C59" s="25" t="str">
        <f>+VLOOKUP($B59,'CSM  PRICE LIST 26.1.3'!$A$2:$E$110,2,FALSE)</f>
        <v>RIDER</v>
      </c>
      <c r="D59" s="32" t="str">
        <f>+VLOOKUP($B59,'CSM  PRICE LIST 26.1.3'!$A$2:$E$110,3,FALSE)</f>
        <v>ERKEK ÇOCUK KISA KOL YARIŞMA POLO</v>
      </c>
      <c r="E59" s="16">
        <f>+VLOOKUP($B59,'CSM  PRICE LIST 26.1.3'!$A$2:$E$110,4,FALSE)</f>
        <v>59.9</v>
      </c>
      <c r="F59" s="9">
        <f>+VLOOKUP($B59,'CSM  PRICE LIST 26.1.3'!$A$2:$E$110,5,FALSE)</f>
        <v>3290</v>
      </c>
      <c r="G59" s="9">
        <f t="shared" ref="G59:G62" si="14">+ROUNDDOWN(F59*0.8,-2)</f>
        <v>2600</v>
      </c>
      <c r="H59" s="9">
        <f t="shared" ref="H59:H62" si="15">+ROUNDDOWN(F59*0.7,-2)</f>
        <v>2300</v>
      </c>
      <c r="I59" s="9">
        <f t="shared" si="8"/>
        <v>1970</v>
      </c>
      <c r="J59" s="9">
        <f t="shared" si="9"/>
        <v>1645</v>
      </c>
      <c r="K59" s="10">
        <f t="shared" si="10"/>
        <v>990</v>
      </c>
      <c r="L59" s="7"/>
    </row>
    <row r="60" spans="2:12" ht="18.75" customHeight="1" x14ac:dyDescent="0.2">
      <c r="B60" s="15" t="s">
        <v>76</v>
      </c>
      <c r="C60" s="25" t="str">
        <f>+VLOOKUP($B60,'CSM  PRICE LIST 26.1.3'!$A$2:$E$110,2,FALSE)</f>
        <v>RIDER</v>
      </c>
      <c r="D60" s="32" t="str">
        <f>+VLOOKUP($B60,'CSM  PRICE LIST 26.1.3'!$A$2:$E$110,3,FALSE)</f>
        <v>KIZ ÇOCUK KISA KOL TEKNİK ANTRENMAN POLO</v>
      </c>
      <c r="E60" s="16">
        <f>+VLOOKUP($B60,'CSM  PRICE LIST 26.1.3'!$A$2:$E$110,4,FALSE)</f>
        <v>59.9</v>
      </c>
      <c r="F60" s="9">
        <f>+VLOOKUP($B60,'CSM  PRICE LIST 26.1.3'!$A$2:$E$110,5,FALSE)</f>
        <v>3290</v>
      </c>
      <c r="G60" s="9">
        <f t="shared" si="14"/>
        <v>2600</v>
      </c>
      <c r="H60" s="9">
        <f t="shared" si="15"/>
        <v>2300</v>
      </c>
      <c r="I60" s="9">
        <f t="shared" si="8"/>
        <v>1970</v>
      </c>
      <c r="J60" s="9">
        <f t="shared" si="9"/>
        <v>1645</v>
      </c>
      <c r="K60" s="10">
        <f t="shared" si="10"/>
        <v>990</v>
      </c>
      <c r="L60" s="7"/>
    </row>
    <row r="61" spans="2:12" ht="18.75" customHeight="1" x14ac:dyDescent="0.2">
      <c r="B61" s="15" t="s">
        <v>39</v>
      </c>
      <c r="C61" s="25" t="str">
        <f>+VLOOKUP($B61,'CSM  PRICE LIST 26.1.3'!$A$2:$E$110,2,FALSE)</f>
        <v>RIDER</v>
      </c>
      <c r="D61" s="32" t="str">
        <f>+VLOOKUP($B61,'CSM  PRICE LIST 26.1.3'!$A$2:$E$110,3,FALSE)</f>
        <v>ERKEK ÇOCUK KISA KOL YARIŞMA POLO</v>
      </c>
      <c r="E61" s="16">
        <f>+VLOOKUP($B61,'CSM  PRICE LIST 26.1.3'!$A$2:$E$110,4,FALSE)</f>
        <v>59.9</v>
      </c>
      <c r="F61" s="9">
        <f>+VLOOKUP($B61,'CSM  PRICE LIST 26.1.3'!$A$2:$E$110,5,FALSE)</f>
        <v>3290</v>
      </c>
      <c r="G61" s="9">
        <f t="shared" si="14"/>
        <v>2600</v>
      </c>
      <c r="H61" s="9">
        <f t="shared" si="15"/>
        <v>2300</v>
      </c>
      <c r="I61" s="9">
        <f t="shared" si="8"/>
        <v>1970</v>
      </c>
      <c r="J61" s="9">
        <f t="shared" si="9"/>
        <v>1645</v>
      </c>
      <c r="K61" s="10">
        <f t="shared" si="10"/>
        <v>990</v>
      </c>
      <c r="L61" s="7"/>
    </row>
    <row r="62" spans="2:12" ht="18.75" customHeight="1" x14ac:dyDescent="0.2">
      <c r="B62" s="15" t="s">
        <v>78</v>
      </c>
      <c r="C62" s="25" t="str">
        <f>+VLOOKUP($B62,'CSM  PRICE LIST 26.1.3'!$A$2:$E$110,2,FALSE)</f>
        <v>RIDER</v>
      </c>
      <c r="D62" s="32" t="str">
        <f>+VLOOKUP($B62,'CSM  PRICE LIST 26.1.3'!$A$2:$E$110,3,FALSE)</f>
        <v>ERKEK ÇOCUK KISA KOL TEKNİK ANTRENMAN POLO</v>
      </c>
      <c r="E62" s="16">
        <f>+VLOOKUP($B62,'CSM  PRICE LIST 26.1.3'!$A$2:$E$110,4,FALSE)</f>
        <v>59.9</v>
      </c>
      <c r="F62" s="9">
        <f>+VLOOKUP($B62,'CSM  PRICE LIST 26.1.3'!$A$2:$E$110,5,FALSE)</f>
        <v>3290</v>
      </c>
      <c r="G62" s="9">
        <f t="shared" si="14"/>
        <v>2600</v>
      </c>
      <c r="H62" s="9">
        <f t="shared" si="15"/>
        <v>2300</v>
      </c>
      <c r="I62" s="9">
        <f t="shared" si="8"/>
        <v>1970</v>
      </c>
      <c r="J62" s="9">
        <f t="shared" si="9"/>
        <v>1645</v>
      </c>
      <c r="K62" s="10">
        <f t="shared" si="10"/>
        <v>990</v>
      </c>
      <c r="L62" s="7"/>
    </row>
    <row r="63" spans="2:12" ht="18.75" customHeight="1" x14ac:dyDescent="0.2">
      <c r="B63" s="15" t="s">
        <v>62</v>
      </c>
      <c r="C63" s="25" t="str">
        <f>+VLOOKUP($B63,'CSM  PRICE LIST 26.1.3'!$A$2:$E$110,2,FALSE)</f>
        <v>RIDER</v>
      </c>
      <c r="D63" s="32" t="str">
        <f>+VLOOKUP($B63,'CSM  PRICE LIST 26.1.3'!$A$2:$E$110,3,FALSE)</f>
        <v>KIZ ÇOCUK UZUN KOL FERMUARLI T-SHIRT</v>
      </c>
      <c r="E63" s="16">
        <f>+VLOOKUP($B63,'CSM  PRICE LIST 26.1.3'!$A$2:$E$110,4,FALSE)</f>
        <v>69.900000000000006</v>
      </c>
      <c r="F63" s="9">
        <f>+VLOOKUP($B63,'CSM  PRICE LIST 26.1.3'!$A$2:$E$110,5,FALSE)</f>
        <v>3840</v>
      </c>
      <c r="G63" s="9">
        <f>+ROUNDDOWN(F63*0.8,-2)</f>
        <v>3000</v>
      </c>
      <c r="H63" s="9">
        <f>+ROUNDDOWN(F63*0.7,-2)</f>
        <v>2600</v>
      </c>
      <c r="I63" s="9">
        <f t="shared" si="8"/>
        <v>2300</v>
      </c>
      <c r="J63" s="9">
        <f t="shared" si="9"/>
        <v>1920</v>
      </c>
      <c r="K63" s="10">
        <f t="shared" si="10"/>
        <v>1160</v>
      </c>
      <c r="L63" s="7"/>
    </row>
    <row r="64" spans="2:12" ht="18.75" customHeight="1" x14ac:dyDescent="0.2">
      <c r="B64" s="15" t="s">
        <v>58</v>
      </c>
      <c r="C64" s="25" t="str">
        <f>+VLOOKUP($B64,'CSM  PRICE LIST 26.1.3'!$A$2:$E$110,2,FALSE)</f>
        <v>RIDER</v>
      </c>
      <c r="D64" s="32" t="str">
        <f>+VLOOKUP($B64,'CSM  PRICE LIST 26.1.3'!$A$2:$E$110,3,FALSE)</f>
        <v>KADIN TECH T-SHIRT</v>
      </c>
      <c r="E64" s="16">
        <f>+VLOOKUP($B64,'CSM  PRICE LIST 26.1.3'!$A$2:$E$110,4,FALSE)</f>
        <v>69.900000000000006</v>
      </c>
      <c r="F64" s="9">
        <f>+VLOOKUP($B64,'CSM  PRICE LIST 26.1.3'!$A$2:$E$110,5,FALSE)</f>
        <v>3840</v>
      </c>
      <c r="G64" s="9">
        <f t="shared" ref="G64:G112" si="16">+ROUNDDOWN(F64*0.8,-2)</f>
        <v>3000</v>
      </c>
      <c r="H64" s="9">
        <f t="shared" ref="H64:H76" si="17">+ROUNDDOWN(F64*0.7,-2)</f>
        <v>2600</v>
      </c>
      <c r="I64" s="9">
        <f t="shared" si="8"/>
        <v>2300</v>
      </c>
      <c r="J64" s="9">
        <f t="shared" si="9"/>
        <v>1920</v>
      </c>
      <c r="K64" s="10">
        <f t="shared" si="10"/>
        <v>1160</v>
      </c>
      <c r="L64" s="7"/>
    </row>
    <row r="65" spans="2:12" ht="18.75" customHeight="1" x14ac:dyDescent="0.2">
      <c r="B65" s="15" t="s">
        <v>57</v>
      </c>
      <c r="C65" s="25" t="str">
        <f>+VLOOKUP($B65,'CSM  PRICE LIST 26.1.3'!$A$2:$E$110,2,FALSE)</f>
        <v>RIDER</v>
      </c>
      <c r="D65" s="32" t="str">
        <f>+VLOOKUP($B65,'CSM  PRICE LIST 26.1.3'!$A$2:$E$110,3,FALSE)</f>
        <v>KADIN SOFT ANTRENMAN POLO</v>
      </c>
      <c r="E65" s="16">
        <f>+VLOOKUP($B65,'CSM  PRICE LIST 26.1.3'!$A$2:$E$110,4,FALSE)</f>
        <v>69.900000000000006</v>
      </c>
      <c r="F65" s="9">
        <f>+VLOOKUP($B65,'CSM  PRICE LIST 26.1.3'!$A$2:$E$110,5,FALSE)</f>
        <v>3840</v>
      </c>
      <c r="G65" s="9">
        <f t="shared" si="16"/>
        <v>3000</v>
      </c>
      <c r="H65" s="9">
        <f t="shared" si="17"/>
        <v>2600</v>
      </c>
      <c r="I65" s="9">
        <f t="shared" si="8"/>
        <v>2300</v>
      </c>
      <c r="J65" s="9">
        <f t="shared" si="9"/>
        <v>1920</v>
      </c>
      <c r="K65" s="10">
        <f t="shared" si="10"/>
        <v>1160</v>
      </c>
      <c r="L65" s="7"/>
    </row>
    <row r="66" spans="2:12" ht="18.75" customHeight="1" x14ac:dyDescent="0.2">
      <c r="B66" s="15" t="s">
        <v>52</v>
      </c>
      <c r="C66" s="25" t="str">
        <f>+VLOOKUP($B66,'CSM  PRICE LIST 26.1.3'!$A$2:$E$110,2,FALSE)</f>
        <v>RIDER</v>
      </c>
      <c r="D66" s="32" t="str">
        <f>+VLOOKUP($B66,'CSM  PRICE LIST 26.1.3'!$A$2:$E$110,3,FALSE)</f>
        <v xml:space="preserve">ERKEK KISA KOL SOFT ANTRENMAN POLO </v>
      </c>
      <c r="E66" s="16">
        <f>+VLOOKUP($B66,'CSM  PRICE LIST 26.1.3'!$A$2:$E$110,4,FALSE)</f>
        <v>69.900000000000006</v>
      </c>
      <c r="F66" s="9">
        <f>+VLOOKUP($B66,'CSM  PRICE LIST 26.1.3'!$A$2:$E$110,5,FALSE)</f>
        <v>3840</v>
      </c>
      <c r="G66" s="9">
        <f t="shared" si="16"/>
        <v>3000</v>
      </c>
      <c r="H66" s="9">
        <f t="shared" si="17"/>
        <v>2600</v>
      </c>
      <c r="I66" s="9">
        <f t="shared" si="8"/>
        <v>2300</v>
      </c>
      <c r="J66" s="9">
        <f t="shared" si="9"/>
        <v>1920</v>
      </c>
      <c r="K66" s="10">
        <f t="shared" si="10"/>
        <v>1160</v>
      </c>
      <c r="L66" s="7"/>
    </row>
    <row r="67" spans="2:12" ht="18.75" customHeight="1" x14ac:dyDescent="0.2">
      <c r="B67" s="15" t="s">
        <v>77</v>
      </c>
      <c r="C67" s="25" t="str">
        <f>+VLOOKUP($B67,'CSM  PRICE LIST 26.1.3'!$A$2:$E$110,2,FALSE)</f>
        <v>RIDER</v>
      </c>
      <c r="D67" s="32" t="str">
        <f>+VLOOKUP($B67,'CSM  PRICE LIST 26.1.3'!$A$2:$E$110,3,FALSE)</f>
        <v>KIZ ÇOCUK KISA KOL YARIŞMA POLO</v>
      </c>
      <c r="E67" s="16">
        <f>+VLOOKUP($B67,'CSM  PRICE LIST 26.1.3'!$A$2:$E$110,4,FALSE)</f>
        <v>69.900000000000006</v>
      </c>
      <c r="F67" s="9">
        <f>+VLOOKUP($B67,'CSM  PRICE LIST 26.1.3'!$A$2:$E$110,5,FALSE)</f>
        <v>3840</v>
      </c>
      <c r="G67" s="9">
        <f t="shared" si="16"/>
        <v>3000</v>
      </c>
      <c r="H67" s="9">
        <f t="shared" si="17"/>
        <v>2600</v>
      </c>
      <c r="I67" s="9">
        <f t="shared" si="8"/>
        <v>2300</v>
      </c>
      <c r="J67" s="9">
        <f t="shared" si="9"/>
        <v>1920</v>
      </c>
      <c r="K67" s="10">
        <f t="shared" si="10"/>
        <v>1160</v>
      </c>
      <c r="L67" s="7"/>
    </row>
    <row r="68" spans="2:12" ht="18.75" customHeight="1" x14ac:dyDescent="0.2">
      <c r="B68" s="15" t="s">
        <v>41</v>
      </c>
      <c r="C68" s="25" t="str">
        <f>+VLOOKUP($B68,'CSM  PRICE LIST 26.1.3'!$A$2:$E$110,2,FALSE)</f>
        <v>RIDER</v>
      </c>
      <c r="D68" s="32" t="str">
        <f>+VLOOKUP($B68,'CSM  PRICE LIST 26.1.3'!$A$2:$E$110,3,FALSE)</f>
        <v>KIZ ÇOCUK UZUN KOL YARIŞMA POLO</v>
      </c>
      <c r="E68" s="16">
        <f>+VLOOKUP($B68,'CSM  PRICE LIST 26.1.3'!$A$2:$E$110,4,FALSE)</f>
        <v>69.900000000000006</v>
      </c>
      <c r="F68" s="9">
        <f>+VLOOKUP($B68,'CSM  PRICE LIST 26.1.3'!$A$2:$E$110,5,FALSE)</f>
        <v>3840</v>
      </c>
      <c r="G68" s="9">
        <f t="shared" si="16"/>
        <v>3000</v>
      </c>
      <c r="H68" s="9">
        <f t="shared" si="17"/>
        <v>2600</v>
      </c>
      <c r="I68" s="9">
        <f t="shared" si="8"/>
        <v>2300</v>
      </c>
      <c r="J68" s="9">
        <f t="shared" si="9"/>
        <v>1920</v>
      </c>
      <c r="K68" s="10">
        <f t="shared" si="10"/>
        <v>1160</v>
      </c>
      <c r="L68" s="7"/>
    </row>
    <row r="69" spans="2:12" ht="18.75" customHeight="1" x14ac:dyDescent="0.2">
      <c r="B69" s="15" t="s">
        <v>36</v>
      </c>
      <c r="C69" s="25" t="str">
        <f>+VLOOKUP($B69,'CSM  PRICE LIST 26.1.3'!$A$2:$E$110,2,FALSE)</f>
        <v>RIDER</v>
      </c>
      <c r="D69" s="32" t="str">
        <f>+VLOOKUP($B69,'CSM  PRICE LIST 26.1.3'!$A$2:$E$110,3,FALSE)</f>
        <v>ERKEK ÇOCUK UZUN KOL YARIŞMA POLO</v>
      </c>
      <c r="E69" s="16">
        <f>+VLOOKUP($B69,'CSM  PRICE LIST 26.1.3'!$A$2:$E$110,4,FALSE)</f>
        <v>69.900000000000006</v>
      </c>
      <c r="F69" s="9">
        <f>+VLOOKUP($B69,'CSM  PRICE LIST 26.1.3'!$A$2:$E$110,5,FALSE)</f>
        <v>3840</v>
      </c>
      <c r="G69" s="9">
        <f t="shared" si="16"/>
        <v>3000</v>
      </c>
      <c r="H69" s="9">
        <f t="shared" si="17"/>
        <v>2600</v>
      </c>
      <c r="I69" s="9">
        <f t="shared" si="8"/>
        <v>2300</v>
      </c>
      <c r="J69" s="9">
        <f t="shared" si="9"/>
        <v>1920</v>
      </c>
      <c r="K69" s="10">
        <f t="shared" si="10"/>
        <v>1160</v>
      </c>
      <c r="L69" s="7"/>
    </row>
    <row r="70" spans="2:12" ht="18.75" customHeight="1" x14ac:dyDescent="0.2">
      <c r="B70" s="15" t="s">
        <v>37</v>
      </c>
      <c r="C70" s="25" t="str">
        <f>+VLOOKUP($B70,'CSM  PRICE LIST 26.1.3'!$A$2:$E$110,2,FALSE)</f>
        <v>RIDER</v>
      </c>
      <c r="D70" s="32" t="str">
        <f>+VLOOKUP($B70,'CSM  PRICE LIST 26.1.3'!$A$2:$E$110,3,FALSE)</f>
        <v>ERKEK ÇOCUK UZUN KOL YARIŞMA POLO</v>
      </c>
      <c r="E70" s="16">
        <f>+VLOOKUP($B70,'CSM  PRICE LIST 26.1.3'!$A$2:$E$110,4,FALSE)</f>
        <v>69.900000000000006</v>
      </c>
      <c r="F70" s="9">
        <f>+VLOOKUP($B70,'CSM  PRICE LIST 26.1.3'!$A$2:$E$110,5,FALSE)</f>
        <v>3840</v>
      </c>
      <c r="G70" s="9">
        <f t="shared" si="16"/>
        <v>3000</v>
      </c>
      <c r="H70" s="9">
        <f t="shared" si="17"/>
        <v>2600</v>
      </c>
      <c r="I70" s="9">
        <f t="shared" si="8"/>
        <v>2300</v>
      </c>
      <c r="J70" s="9">
        <f t="shared" si="9"/>
        <v>1920</v>
      </c>
      <c r="K70" s="10">
        <f t="shared" si="10"/>
        <v>1160</v>
      </c>
      <c r="L70" s="7"/>
    </row>
    <row r="71" spans="2:12" ht="18.75" customHeight="1" x14ac:dyDescent="0.2">
      <c r="B71" s="15" t="s">
        <v>79</v>
      </c>
      <c r="C71" s="25" t="str">
        <f>+VLOOKUP($B71,'CSM  PRICE LIST 26.1.3'!$A$2:$E$110,2,FALSE)</f>
        <v>RIDER</v>
      </c>
      <c r="D71" s="32" t="str">
        <f>+VLOOKUP($B71,'CSM  PRICE LIST 26.1.3'!$A$2:$E$110,3,FALSE)</f>
        <v>KIZ ÇOCUK KISA KOL YARIŞMA POLO</v>
      </c>
      <c r="E71" s="16">
        <f>+VLOOKUP($B71,'CSM  PRICE LIST 26.1.3'!$A$2:$E$110,4,FALSE)</f>
        <v>69.900000000000006</v>
      </c>
      <c r="F71" s="9">
        <f>+VLOOKUP($B71,'CSM  PRICE LIST 26.1.3'!$A$2:$E$110,5,FALSE)</f>
        <v>3840</v>
      </c>
      <c r="G71" s="9">
        <f t="shared" si="16"/>
        <v>3000</v>
      </c>
      <c r="H71" s="9">
        <f t="shared" si="17"/>
        <v>2600</v>
      </c>
      <c r="I71" s="9">
        <f t="shared" si="8"/>
        <v>2300</v>
      </c>
      <c r="J71" s="9">
        <f t="shared" si="9"/>
        <v>1920</v>
      </c>
      <c r="K71" s="10">
        <f t="shared" si="10"/>
        <v>1160</v>
      </c>
      <c r="L71" s="7"/>
    </row>
    <row r="72" spans="2:12" ht="18.75" customHeight="1" x14ac:dyDescent="0.2">
      <c r="B72" s="15" t="s">
        <v>43</v>
      </c>
      <c r="C72" s="25" t="str">
        <f>+VLOOKUP($B72,'CSM  PRICE LIST 26.1.3'!$A$2:$E$110,2,FALSE)</f>
        <v>RIDER</v>
      </c>
      <c r="D72" s="32" t="str">
        <f>+VLOOKUP($B72,'CSM  PRICE LIST 26.1.3'!$A$2:$E$110,3,FALSE)</f>
        <v>KIZ ÇOCUK KISA KOL YARIŞMA POLO</v>
      </c>
      <c r="E72" s="16">
        <f>+VLOOKUP($B72,'CSM  PRICE LIST 26.1.3'!$A$2:$E$110,4,FALSE)</f>
        <v>69.900000000000006</v>
      </c>
      <c r="F72" s="9">
        <f>+VLOOKUP($B72,'CSM  PRICE LIST 26.1.3'!$A$2:$E$110,5,FALSE)</f>
        <v>3840</v>
      </c>
      <c r="G72" s="9">
        <f t="shared" si="16"/>
        <v>3000</v>
      </c>
      <c r="H72" s="9">
        <f t="shared" si="17"/>
        <v>2600</v>
      </c>
      <c r="I72" s="9">
        <f t="shared" si="8"/>
        <v>2300</v>
      </c>
      <c r="J72" s="9">
        <f t="shared" si="9"/>
        <v>1920</v>
      </c>
      <c r="K72" s="10">
        <f t="shared" si="10"/>
        <v>1160</v>
      </c>
      <c r="L72" s="7"/>
    </row>
    <row r="73" spans="2:12" ht="18.75" customHeight="1" x14ac:dyDescent="0.2">
      <c r="B73" s="15" t="s">
        <v>55</v>
      </c>
      <c r="C73" s="25" t="str">
        <f>+VLOOKUP($B73,'CSM  PRICE LIST 26.1.3'!$A$2:$E$110,2,FALSE)</f>
        <v>RIDER</v>
      </c>
      <c r="D73" s="32" t="str">
        <f>+VLOOKUP($B73,'CSM  PRICE LIST 26.1.3'!$A$2:$E$110,3,FALSE)</f>
        <v>KADIN KISA KOL YARIŞMA POLO</v>
      </c>
      <c r="E73" s="16">
        <f>+VLOOKUP($B73,'CSM  PRICE LIST 26.1.3'!$A$2:$E$110,4,FALSE)</f>
        <v>89.9</v>
      </c>
      <c r="F73" s="9">
        <f>+VLOOKUP($B73,'CSM  PRICE LIST 26.1.3'!$A$2:$E$110,5,FALSE)</f>
        <v>4940</v>
      </c>
      <c r="G73" s="9">
        <f t="shared" si="16"/>
        <v>3900</v>
      </c>
      <c r="H73" s="9">
        <f t="shared" si="17"/>
        <v>3400</v>
      </c>
      <c r="I73" s="9">
        <f t="shared" si="8"/>
        <v>2960</v>
      </c>
      <c r="J73" s="9">
        <f t="shared" si="9"/>
        <v>2470</v>
      </c>
      <c r="K73" s="10">
        <f t="shared" si="10"/>
        <v>1490</v>
      </c>
      <c r="L73" s="7"/>
    </row>
    <row r="74" spans="2:12" ht="18.75" customHeight="1" x14ac:dyDescent="0.2">
      <c r="B74" s="15" t="s">
        <v>49</v>
      </c>
      <c r="C74" s="25" t="str">
        <f>+VLOOKUP($B74,'CSM  PRICE LIST 26.1.3'!$A$2:$E$110,2,FALSE)</f>
        <v>RIDER</v>
      </c>
      <c r="D74" s="32" t="str">
        <f>+VLOOKUP($B74,'CSM  PRICE LIST 26.1.3'!$A$2:$E$110,3,FALSE)</f>
        <v>ERKEK KISA KOL YARIŞMA POLO</v>
      </c>
      <c r="E74" s="16">
        <f>+VLOOKUP($B74,'CSM  PRICE LIST 26.1.3'!$A$2:$E$110,4,FALSE)</f>
        <v>89.9</v>
      </c>
      <c r="F74" s="9">
        <f>+VLOOKUP($B74,'CSM  PRICE LIST 26.1.3'!$A$2:$E$110,5,FALSE)</f>
        <v>4940</v>
      </c>
      <c r="G74" s="9">
        <f t="shared" si="16"/>
        <v>3900</v>
      </c>
      <c r="H74" s="9">
        <f t="shared" si="17"/>
        <v>3400</v>
      </c>
      <c r="I74" s="9">
        <f t="shared" si="8"/>
        <v>2960</v>
      </c>
      <c r="J74" s="9">
        <f t="shared" si="9"/>
        <v>2470</v>
      </c>
      <c r="K74" s="10">
        <f t="shared" si="10"/>
        <v>1490</v>
      </c>
      <c r="L74" s="7"/>
    </row>
    <row r="75" spans="2:12" ht="18.75" customHeight="1" x14ac:dyDescent="0.2">
      <c r="B75" s="15" t="s">
        <v>80</v>
      </c>
      <c r="C75" s="25" t="str">
        <f>+VLOOKUP($B75,'CSM  PRICE LIST 26.1.3'!$A$2:$E$110,2,FALSE)</f>
        <v>RIDER</v>
      </c>
      <c r="D75" s="32" t="str">
        <f>+VLOOKUP($B75,'CSM  PRICE LIST 26.1.3'!$A$2:$E$110,3,FALSE)</f>
        <v>KADIN KISA KOL TEKNİK ANTRENMAN POLO</v>
      </c>
      <c r="E75" s="16">
        <f>+VLOOKUP($B75,'CSM  PRICE LIST 26.1.3'!$A$2:$E$110,4,FALSE)</f>
        <v>89.9</v>
      </c>
      <c r="F75" s="9">
        <f>+VLOOKUP($B75,'CSM  PRICE LIST 26.1.3'!$A$2:$E$110,5,FALSE)</f>
        <v>4940</v>
      </c>
      <c r="G75" s="9">
        <f t="shared" si="16"/>
        <v>3900</v>
      </c>
      <c r="H75" s="9">
        <f t="shared" si="17"/>
        <v>3400</v>
      </c>
      <c r="I75" s="9">
        <f t="shared" ref="I75:I107" si="18">+ROUNDDOWN(F75*0.6,-1)</f>
        <v>2960</v>
      </c>
      <c r="J75" s="9">
        <f t="shared" ref="J75:J107" si="19">ROUNDUP(+F75*0.5,0)</f>
        <v>2470</v>
      </c>
      <c r="K75" s="10">
        <f t="shared" ref="K75:K107" si="20">ROUNDUP(+F75*0.3,-1)</f>
        <v>1490</v>
      </c>
      <c r="L75" s="7"/>
    </row>
    <row r="76" spans="2:12" ht="18.75" customHeight="1" x14ac:dyDescent="0.2">
      <c r="B76" s="15" t="s">
        <v>50</v>
      </c>
      <c r="C76" s="25" t="str">
        <f>+VLOOKUP($B76,'CSM  PRICE LIST 26.1.3'!$A$2:$E$110,2,FALSE)</f>
        <v>RIDER</v>
      </c>
      <c r="D76" s="32" t="str">
        <f>+VLOOKUP($B76,'CSM  PRICE LIST 26.1.3'!$A$2:$E$110,3,FALSE)</f>
        <v>ERKEK KISA KOL YARIŞMA POLO</v>
      </c>
      <c r="E76" s="16">
        <f>+VLOOKUP($B76,'CSM  PRICE LIST 26.1.3'!$A$2:$E$110,4,FALSE)</f>
        <v>89.9</v>
      </c>
      <c r="F76" s="9">
        <f>+VLOOKUP($B76,'CSM  PRICE LIST 26.1.3'!$A$2:$E$110,5,FALSE)</f>
        <v>4940</v>
      </c>
      <c r="G76" s="9">
        <f t="shared" si="16"/>
        <v>3900</v>
      </c>
      <c r="H76" s="9">
        <f t="shared" si="17"/>
        <v>3400</v>
      </c>
      <c r="I76" s="9">
        <f t="shared" si="18"/>
        <v>2960</v>
      </c>
      <c r="J76" s="9">
        <f t="shared" si="19"/>
        <v>2470</v>
      </c>
      <c r="K76" s="10">
        <f t="shared" si="20"/>
        <v>1490</v>
      </c>
      <c r="L76" s="7"/>
    </row>
    <row r="77" spans="2:12" ht="18.75" customHeight="1" x14ac:dyDescent="0.2">
      <c r="B77" s="15" t="s">
        <v>30</v>
      </c>
      <c r="C77" s="25" t="str">
        <f>+VLOOKUP($B77,'CSM  PRICE LIST 26.1.3'!$A$2:$E$110,2,FALSE)</f>
        <v>RIDER</v>
      </c>
      <c r="D77" s="32" t="str">
        <f>+VLOOKUP($B77,'CSM  PRICE LIST 26.1.3'!$A$2:$E$110,3,FALSE)</f>
        <v>ÇOCUK ŞİŞME YELEK</v>
      </c>
      <c r="E77" s="16">
        <f>+VLOOKUP($B77,'CSM  PRICE LIST 26.1.3'!$A$2:$E$110,4,FALSE)</f>
        <v>89.9</v>
      </c>
      <c r="F77" s="9">
        <f>+VLOOKUP($B77,'CSM  PRICE LIST 26.1.3'!$A$2:$E$110,5,FALSE)</f>
        <v>4940</v>
      </c>
      <c r="G77" s="9">
        <f>+ROUNDDOWN(F77*0.8,-2)</f>
        <v>3900</v>
      </c>
      <c r="H77" s="9">
        <f>+ROUNDDOWN(F77*0.7,-2)</f>
        <v>3400</v>
      </c>
      <c r="I77" s="9">
        <f t="shared" si="18"/>
        <v>2960</v>
      </c>
      <c r="J77" s="9">
        <f t="shared" si="19"/>
        <v>2470</v>
      </c>
      <c r="K77" s="10">
        <f t="shared" si="20"/>
        <v>1490</v>
      </c>
      <c r="L77" s="7"/>
    </row>
    <row r="78" spans="2:12" ht="18.75" customHeight="1" x14ac:dyDescent="0.2">
      <c r="B78" s="15" t="s">
        <v>81</v>
      </c>
      <c r="C78" s="25" t="str">
        <f>+VLOOKUP($B78,'CSM  PRICE LIST 26.1.3'!$A$2:$E$110,2,FALSE)</f>
        <v>RIDER</v>
      </c>
      <c r="D78" s="32" t="str">
        <f>+VLOOKUP($B78,'CSM  PRICE LIST 26.1.3'!$A$2:$E$110,3,FALSE)</f>
        <v>ERKEK KISA KOL TEKNİK ANTRENMAN POLO</v>
      </c>
      <c r="E78" s="16">
        <f>+VLOOKUP($B78,'CSM  PRICE LIST 26.1.3'!$A$2:$E$110,4,FALSE)</f>
        <v>89.9</v>
      </c>
      <c r="F78" s="9">
        <f>+VLOOKUP($B78,'CSM  PRICE LIST 26.1.3'!$A$2:$E$110,5,FALSE)</f>
        <v>4940</v>
      </c>
      <c r="G78" s="9">
        <f t="shared" si="16"/>
        <v>3900</v>
      </c>
      <c r="H78" s="9">
        <f t="shared" ref="H78:H86" si="21">+ROUNDDOWN(F78*0.7,-2)</f>
        <v>3400</v>
      </c>
      <c r="I78" s="9">
        <f t="shared" si="18"/>
        <v>2960</v>
      </c>
      <c r="J78" s="9">
        <f t="shared" si="19"/>
        <v>2470</v>
      </c>
      <c r="K78" s="10">
        <f t="shared" si="20"/>
        <v>1490</v>
      </c>
      <c r="L78" s="7"/>
    </row>
    <row r="79" spans="2:12" ht="18.75" customHeight="1" x14ac:dyDescent="0.2">
      <c r="B79" s="15" t="s">
        <v>84</v>
      </c>
      <c r="C79" s="25" t="str">
        <f>+VLOOKUP($B79,'CSM  PRICE LIST 26.1.3'!$A$2:$E$110,2,FALSE)</f>
        <v>RIDER</v>
      </c>
      <c r="D79" s="32" t="str">
        <f>+VLOOKUP($B79,'CSM  PRICE LIST 26.1.3'!$A$2:$E$110,3,FALSE)</f>
        <v>ERKEK KISA KOL YARIŞMA POLO</v>
      </c>
      <c r="E79" s="16">
        <f>+VLOOKUP($B79,'CSM  PRICE LIST 26.1.3'!$A$2:$E$110,4,FALSE)</f>
        <v>89.9</v>
      </c>
      <c r="F79" s="9">
        <f>+VLOOKUP($B79,'CSM  PRICE LIST 26.1.3'!$A$2:$E$110,5,FALSE)</f>
        <v>4940</v>
      </c>
      <c r="G79" s="9">
        <f t="shared" si="16"/>
        <v>3900</v>
      </c>
      <c r="H79" s="9">
        <f t="shared" si="21"/>
        <v>3400</v>
      </c>
      <c r="I79" s="9">
        <f t="shared" si="18"/>
        <v>2960</v>
      </c>
      <c r="J79" s="9">
        <f t="shared" si="19"/>
        <v>2470</v>
      </c>
      <c r="K79" s="10">
        <f t="shared" si="20"/>
        <v>1490</v>
      </c>
      <c r="L79" s="7"/>
    </row>
    <row r="80" spans="2:12" ht="18.75" customHeight="1" x14ac:dyDescent="0.2">
      <c r="B80" s="15" t="s">
        <v>33</v>
      </c>
      <c r="C80" s="25" t="str">
        <f>+VLOOKUP($B80,'CSM  PRICE LIST 26.1.3'!$A$2:$E$110,2,FALSE)</f>
        <v>RIDER</v>
      </c>
      <c r="D80" s="32" t="str">
        <f>+VLOOKUP($B80,'CSM  PRICE LIST 26.1.3'!$A$2:$E$110,3,FALSE)</f>
        <v>ÇOCUK POLAR HIRKA</v>
      </c>
      <c r="E80" s="16">
        <f>+VLOOKUP($B80,'CSM  PRICE LIST 26.1.3'!$A$2:$E$110,4,FALSE)</f>
        <v>99.9</v>
      </c>
      <c r="F80" s="9">
        <f>+VLOOKUP($B80,'CSM  PRICE LIST 26.1.3'!$A$2:$E$110,5,FALSE)</f>
        <v>5490</v>
      </c>
      <c r="G80" s="9">
        <f t="shared" si="16"/>
        <v>4300</v>
      </c>
      <c r="H80" s="9">
        <f t="shared" si="21"/>
        <v>3800</v>
      </c>
      <c r="I80" s="9">
        <f t="shared" si="18"/>
        <v>3290</v>
      </c>
      <c r="J80" s="9">
        <f t="shared" si="19"/>
        <v>2745</v>
      </c>
      <c r="K80" s="10">
        <f t="shared" si="20"/>
        <v>1650</v>
      </c>
      <c r="L80" s="7"/>
    </row>
    <row r="81" spans="2:12" ht="18.75" customHeight="1" x14ac:dyDescent="0.2">
      <c r="B81" s="15" t="s">
        <v>53</v>
      </c>
      <c r="C81" s="25" t="str">
        <f>+VLOOKUP($B81,'CSM  PRICE LIST 26.1.3'!$A$2:$E$110,2,FALSE)</f>
        <v>RIDER</v>
      </c>
      <c r="D81" s="32" t="str">
        <f>+VLOOKUP($B81,'CSM  PRICE LIST 26.1.3'!$A$2:$E$110,3,FALSE)</f>
        <v>KADIN UZUN KOL FERMUARLI T-SHIRT</v>
      </c>
      <c r="E81" s="16">
        <f>+VLOOKUP($B81,'CSM  PRICE LIST 26.1.3'!$A$2:$E$110,4,FALSE)</f>
        <v>99.9</v>
      </c>
      <c r="F81" s="9">
        <f>+VLOOKUP($B81,'CSM  PRICE LIST 26.1.3'!$A$2:$E$110,5,FALSE)</f>
        <v>5490</v>
      </c>
      <c r="G81" s="9">
        <f t="shared" si="16"/>
        <v>4300</v>
      </c>
      <c r="H81" s="9">
        <f t="shared" si="21"/>
        <v>3800</v>
      </c>
      <c r="I81" s="9">
        <f t="shared" si="18"/>
        <v>3290</v>
      </c>
      <c r="J81" s="9">
        <f t="shared" si="19"/>
        <v>2745</v>
      </c>
      <c r="K81" s="10">
        <f t="shared" si="20"/>
        <v>1650</v>
      </c>
      <c r="L81" s="7"/>
    </row>
    <row r="82" spans="2:12" ht="18.75" customHeight="1" x14ac:dyDescent="0.2">
      <c r="B82" s="15" t="s">
        <v>153</v>
      </c>
      <c r="C82" s="25" t="str">
        <f>+VLOOKUP($B82,'CSM  PRICE LIST 26.1.3'!$A$2:$E$110,2,FALSE)</f>
        <v>RIDER</v>
      </c>
      <c r="D82" s="32" t="str">
        <f>+VLOOKUP($B82,'CSM  PRICE LIST 26.1.3'!$A$2:$E$110,3,FALSE)</f>
        <v>STRASS TAŞ DETAYLI KADIN UZUN KOL FERMUARLI T-SHIRT</v>
      </c>
      <c r="E82" s="16">
        <f>+VLOOKUP($B82,'CSM  PRICE LIST 26.1.3'!$A$2:$E$110,4,FALSE)</f>
        <v>119.9</v>
      </c>
      <c r="F82" s="9">
        <f>+VLOOKUP($B82,'CSM  PRICE LIST 26.1.3'!$A$2:$E$110,5,FALSE)</f>
        <v>6590</v>
      </c>
      <c r="G82" s="9">
        <f t="shared" ref="G82" si="22">+ROUNDDOWN(F82*0.8,-2)</f>
        <v>5200</v>
      </c>
      <c r="H82" s="9">
        <f t="shared" ref="H82" si="23">+ROUNDDOWN(F82*0.7,-2)</f>
        <v>4600</v>
      </c>
      <c r="I82" s="9">
        <f t="shared" ref="I82" si="24">+ROUNDDOWN(F82*0.6,-1)</f>
        <v>3950</v>
      </c>
      <c r="J82" s="9">
        <f t="shared" ref="J82" si="25">ROUNDUP(+F82*0.5,0)</f>
        <v>3295</v>
      </c>
      <c r="K82" s="10">
        <f t="shared" ref="K82" si="26">ROUNDUP(+F82*0.3,-1)</f>
        <v>1980</v>
      </c>
      <c r="L82" s="7"/>
    </row>
    <row r="83" spans="2:12" ht="18.75" customHeight="1" x14ac:dyDescent="0.2">
      <c r="B83" s="15" t="s">
        <v>31</v>
      </c>
      <c r="C83" s="25" t="str">
        <f>+VLOOKUP($B83,'CSM  PRICE LIST 26.1.3'!$A$2:$E$110,2,FALSE)</f>
        <v>RIDER</v>
      </c>
      <c r="D83" s="32" t="str">
        <f>+VLOOKUP($B83,'CSM  PRICE LIST 26.1.3'!$A$2:$E$110,3,FALSE)</f>
        <v>ERKEK ŞİŞME YELEK</v>
      </c>
      <c r="E83" s="16">
        <f>+VLOOKUP($B83,'CSM  PRICE LIST 26.1.3'!$A$2:$E$110,4,FALSE)</f>
        <v>99.9</v>
      </c>
      <c r="F83" s="9">
        <f>+VLOOKUP($B83,'CSM  PRICE LIST 26.1.3'!$A$2:$E$110,5,FALSE)</f>
        <v>5490</v>
      </c>
      <c r="G83" s="9">
        <f t="shared" si="16"/>
        <v>4300</v>
      </c>
      <c r="H83" s="9">
        <f t="shared" si="21"/>
        <v>3800</v>
      </c>
      <c r="I83" s="9">
        <f t="shared" si="18"/>
        <v>3290</v>
      </c>
      <c r="J83" s="9">
        <f t="shared" si="19"/>
        <v>2745</v>
      </c>
      <c r="K83" s="10">
        <f t="shared" si="20"/>
        <v>1650</v>
      </c>
      <c r="L83" s="7"/>
    </row>
    <row r="84" spans="2:12" ht="18.75" customHeight="1" x14ac:dyDescent="0.2">
      <c r="B84" s="15" t="s">
        <v>32</v>
      </c>
      <c r="C84" s="25" t="str">
        <f>+VLOOKUP($B84,'CSM  PRICE LIST 26.1.3'!$A$2:$E$110,2,FALSE)</f>
        <v>RIDER</v>
      </c>
      <c r="D84" s="32" t="str">
        <f>+VLOOKUP($B84,'CSM  PRICE LIST 26.1.3'!$A$2:$E$110,3,FALSE)</f>
        <v>KADIN ŞİŞME YELEK</v>
      </c>
      <c r="E84" s="16">
        <f>+VLOOKUP($B84,'CSM  PRICE LIST 26.1.3'!$A$2:$E$110,4,FALSE)</f>
        <v>99.9</v>
      </c>
      <c r="F84" s="9">
        <f>+VLOOKUP($B84,'CSM  PRICE LIST 26.1.3'!$A$2:$E$110,5,FALSE)</f>
        <v>5490</v>
      </c>
      <c r="G84" s="9">
        <f t="shared" si="16"/>
        <v>4300</v>
      </c>
      <c r="H84" s="9">
        <f t="shared" si="21"/>
        <v>3800</v>
      </c>
      <c r="I84" s="9">
        <f t="shared" si="18"/>
        <v>3290</v>
      </c>
      <c r="J84" s="9">
        <f t="shared" si="19"/>
        <v>2745</v>
      </c>
      <c r="K84" s="10">
        <f t="shared" si="20"/>
        <v>1650</v>
      </c>
      <c r="L84" s="7"/>
    </row>
    <row r="85" spans="2:12" ht="18.75" customHeight="1" x14ac:dyDescent="0.2">
      <c r="B85" s="15" t="s">
        <v>34</v>
      </c>
      <c r="C85" s="25" t="str">
        <f>+VLOOKUP($B85,'CSM  PRICE LIST 26.1.3'!$A$2:$E$110,2,FALSE)</f>
        <v>RIDER</v>
      </c>
      <c r="D85" s="32" t="str">
        <f>+VLOOKUP($B85,'CSM  PRICE LIST 26.1.3'!$A$2:$E$110,3,FALSE)</f>
        <v>ERKEK POLAR HIRKA</v>
      </c>
      <c r="E85" s="16">
        <f>+VLOOKUP($B85,'CSM  PRICE LIST 26.1.3'!$A$2:$E$110,4,FALSE)</f>
        <v>99.9</v>
      </c>
      <c r="F85" s="9">
        <f>+VLOOKUP($B85,'CSM  PRICE LIST 26.1.3'!$A$2:$E$110,5,FALSE)</f>
        <v>5490</v>
      </c>
      <c r="G85" s="9">
        <f t="shared" si="16"/>
        <v>4300</v>
      </c>
      <c r="H85" s="9">
        <f t="shared" si="21"/>
        <v>3800</v>
      </c>
      <c r="I85" s="9">
        <f t="shared" si="18"/>
        <v>3290</v>
      </c>
      <c r="J85" s="9">
        <f t="shared" si="19"/>
        <v>2745</v>
      </c>
      <c r="K85" s="10">
        <f t="shared" si="20"/>
        <v>1650</v>
      </c>
      <c r="L85" s="7"/>
    </row>
    <row r="86" spans="2:12" ht="18.75" customHeight="1" x14ac:dyDescent="0.2">
      <c r="B86" s="15" t="s">
        <v>44</v>
      </c>
      <c r="C86" s="25" t="str">
        <f>+VLOOKUP($B86,'CSM  PRICE LIST 26.1.3'!$A$2:$E$110,2,FALSE)</f>
        <v>RIDER</v>
      </c>
      <c r="D86" s="32" t="str">
        <f>+VLOOKUP($B86,'CSM  PRICE LIST 26.1.3'!$A$2:$E$110,3,FALSE)</f>
        <v>ERKEK UZUN KOL T-SHIRT</v>
      </c>
      <c r="E86" s="16">
        <f>+VLOOKUP($B86,'CSM  PRICE LIST 26.1.3'!$A$2:$E$110,4,FALSE)</f>
        <v>99.9</v>
      </c>
      <c r="F86" s="9">
        <f>+VLOOKUP($B86,'CSM  PRICE LIST 26.1.3'!$A$2:$E$110,5,FALSE)</f>
        <v>5490</v>
      </c>
      <c r="G86" s="9">
        <f t="shared" si="16"/>
        <v>4300</v>
      </c>
      <c r="H86" s="9">
        <f t="shared" si="21"/>
        <v>3800</v>
      </c>
      <c r="I86" s="9">
        <f t="shared" si="18"/>
        <v>3290</v>
      </c>
      <c r="J86" s="9">
        <f t="shared" si="19"/>
        <v>2745</v>
      </c>
      <c r="K86" s="10">
        <f t="shared" si="20"/>
        <v>1650</v>
      </c>
      <c r="L86" s="7"/>
    </row>
    <row r="87" spans="2:12" ht="18.75" customHeight="1" x14ac:dyDescent="0.2">
      <c r="B87" s="15" t="s">
        <v>113</v>
      </c>
      <c r="C87" s="25" t="str">
        <f>+VLOOKUP($B87,'CSM  PRICE LIST 26.1.3'!$A$2:$E$110,2,FALSE)</f>
        <v>RIDER</v>
      </c>
      <c r="D87" s="32" t="str">
        <f>+VLOOKUP($B87,'CSM  PRICE LIST 26.1.3'!$A$2:$E$110,3,FALSE)</f>
        <v>KADIN KISA KOL YARIŞMA POLO X TEAM TÜRKİYE</v>
      </c>
      <c r="E87" s="16">
        <f>+VLOOKUP($B87,'CSM  PRICE LIST 26.1.3'!$A$2:$E$110,4,FALSE)</f>
        <v>99.9</v>
      </c>
      <c r="F87" s="9">
        <f>+VLOOKUP($B87,'CSM  PRICE LIST 26.1.3'!$A$2:$E$110,5,FALSE)</f>
        <v>5490</v>
      </c>
      <c r="G87" s="9">
        <f>+ROUNDDOWN(F87*0.8,-2)</f>
        <v>4300</v>
      </c>
      <c r="H87" s="9">
        <f>+ROUNDDOWN(F87*0.7,-2)</f>
        <v>3800</v>
      </c>
      <c r="I87" s="9">
        <f t="shared" si="18"/>
        <v>3290</v>
      </c>
      <c r="J87" s="9">
        <f t="shared" si="19"/>
        <v>2745</v>
      </c>
      <c r="K87" s="10">
        <f t="shared" si="20"/>
        <v>1650</v>
      </c>
      <c r="L87" s="7"/>
    </row>
    <row r="88" spans="2:12" ht="18.75" customHeight="1" x14ac:dyDescent="0.2">
      <c r="B88" s="15" t="s">
        <v>114</v>
      </c>
      <c r="C88" s="25" t="str">
        <f>+VLOOKUP($B88,'CSM  PRICE LIST 26.1.3'!$A$2:$E$110,2,FALSE)</f>
        <v>RIDER</v>
      </c>
      <c r="D88" s="32" t="str">
        <f>+VLOOKUP($B88,'CSM  PRICE LIST 26.1.3'!$A$2:$E$110,3,FALSE)</f>
        <v>ERKEK KISA KOL YARIŞMA POLO X TEAM TÜRKİYE</v>
      </c>
      <c r="E88" s="16">
        <f>+VLOOKUP($B88,'CSM  PRICE LIST 26.1.3'!$A$2:$E$110,4,FALSE)</f>
        <v>99.9</v>
      </c>
      <c r="F88" s="9">
        <f>+VLOOKUP($B88,'CSM  PRICE LIST 26.1.3'!$A$2:$E$110,5,FALSE)</f>
        <v>5490</v>
      </c>
      <c r="G88" s="9">
        <f t="shared" si="16"/>
        <v>4300</v>
      </c>
      <c r="H88" s="9">
        <f t="shared" ref="H88:H100" si="27">+ROUNDDOWN(F88*0.7,-2)</f>
        <v>3800</v>
      </c>
      <c r="I88" s="9">
        <f t="shared" si="18"/>
        <v>3290</v>
      </c>
      <c r="J88" s="9">
        <f t="shared" si="19"/>
        <v>2745</v>
      </c>
      <c r="K88" s="10">
        <f t="shared" si="20"/>
        <v>1650</v>
      </c>
      <c r="L88" s="7"/>
    </row>
    <row r="89" spans="2:12" ht="18.75" customHeight="1" x14ac:dyDescent="0.2">
      <c r="B89" s="15" t="s">
        <v>45</v>
      </c>
      <c r="C89" s="25" t="str">
        <f>+VLOOKUP($B89,'CSM  PRICE LIST 26.1.3'!$A$2:$E$110,2,FALSE)</f>
        <v>RIDER</v>
      </c>
      <c r="D89" s="32" t="str">
        <f>+VLOOKUP($B89,'CSM  PRICE LIST 26.1.3'!$A$2:$E$110,3,FALSE)</f>
        <v>ERKEK UZUN KOL FERMUARLI T-SHIRT</v>
      </c>
      <c r="E89" s="16">
        <f>+VLOOKUP($B89,'CSM  PRICE LIST 26.1.3'!$A$2:$E$110,4,FALSE)</f>
        <v>99.9</v>
      </c>
      <c r="F89" s="9">
        <f>+VLOOKUP($B89,'CSM  PRICE LIST 26.1.3'!$A$2:$E$110,5,FALSE)</f>
        <v>5490</v>
      </c>
      <c r="G89" s="9">
        <f t="shared" si="16"/>
        <v>4300</v>
      </c>
      <c r="H89" s="9">
        <f t="shared" si="27"/>
        <v>3800</v>
      </c>
      <c r="I89" s="9">
        <f t="shared" si="18"/>
        <v>3290</v>
      </c>
      <c r="J89" s="9">
        <f t="shared" si="19"/>
        <v>2745</v>
      </c>
      <c r="K89" s="10">
        <f t="shared" si="20"/>
        <v>1650</v>
      </c>
      <c r="L89" s="7"/>
    </row>
    <row r="90" spans="2:12" ht="18.75" customHeight="1" x14ac:dyDescent="0.2">
      <c r="B90" s="15" t="s">
        <v>67</v>
      </c>
      <c r="C90" s="25" t="str">
        <f>+VLOOKUP($B90,'CSM  PRICE LIST 26.1.3'!$A$2:$E$110,2,FALSE)</f>
        <v>RIDER</v>
      </c>
      <c r="D90" s="32" t="str">
        <f>+VLOOKUP($B90,'CSM  PRICE LIST 26.1.3'!$A$2:$E$110,3,FALSE)</f>
        <v>KIZ ÇOCUK FULL GRIP PRO BİNİCİ TAYTI</v>
      </c>
      <c r="E90" s="16">
        <f>+VLOOKUP($B90,'CSM  PRICE LIST 26.1.3'!$A$2:$E$110,4,FALSE)</f>
        <v>99.9</v>
      </c>
      <c r="F90" s="9">
        <f>+VLOOKUP($B90,'CSM  PRICE LIST 26.1.3'!$A$2:$E$110,5,FALSE)</f>
        <v>5490</v>
      </c>
      <c r="G90" s="9">
        <f t="shared" si="16"/>
        <v>4300</v>
      </c>
      <c r="H90" s="9">
        <f t="shared" si="27"/>
        <v>3800</v>
      </c>
      <c r="I90" s="9">
        <f t="shared" si="18"/>
        <v>3290</v>
      </c>
      <c r="J90" s="9">
        <f t="shared" si="19"/>
        <v>2745</v>
      </c>
      <c r="K90" s="10">
        <f t="shared" si="20"/>
        <v>1650</v>
      </c>
      <c r="L90" s="7"/>
    </row>
    <row r="91" spans="2:12" ht="18.75" customHeight="1" x14ac:dyDescent="0.2">
      <c r="B91" s="15" t="s">
        <v>35</v>
      </c>
      <c r="C91" s="25" t="str">
        <f>+VLOOKUP($B91,'CSM  PRICE LIST 26.1.3'!$A$2:$E$110,2,FALSE)</f>
        <v>RIDER</v>
      </c>
      <c r="D91" s="32" t="str">
        <f>+VLOOKUP($B91,'CSM  PRICE LIST 26.1.3'!$A$2:$E$110,3,FALSE)</f>
        <v>ERKEK SWEAT HIRKA</v>
      </c>
      <c r="E91" s="16">
        <f>+VLOOKUP($B91,'CSM  PRICE LIST 26.1.3'!$A$2:$E$110,4,FALSE)</f>
        <v>99.9</v>
      </c>
      <c r="F91" s="9">
        <f>+VLOOKUP($B91,'CSM  PRICE LIST 26.1.3'!$A$2:$E$110,5,FALSE)</f>
        <v>5490</v>
      </c>
      <c r="G91" s="9">
        <f t="shared" si="16"/>
        <v>4300</v>
      </c>
      <c r="H91" s="9">
        <f t="shared" si="27"/>
        <v>3800</v>
      </c>
      <c r="I91" s="9">
        <f t="shared" si="18"/>
        <v>3290</v>
      </c>
      <c r="J91" s="9">
        <f t="shared" si="19"/>
        <v>2745</v>
      </c>
      <c r="K91" s="10">
        <f t="shared" si="20"/>
        <v>1650</v>
      </c>
      <c r="L91" s="7"/>
    </row>
    <row r="92" spans="2:12" ht="18.75" customHeight="1" x14ac:dyDescent="0.2">
      <c r="B92" s="15" t="s">
        <v>46</v>
      </c>
      <c r="C92" s="25" t="str">
        <f>+VLOOKUP($B92,'CSM  PRICE LIST 26.1.3'!$A$2:$E$110,2,FALSE)</f>
        <v>RIDER</v>
      </c>
      <c r="D92" s="32" t="str">
        <f>+VLOOKUP($B92,'CSM  PRICE LIST 26.1.3'!$A$2:$E$110,3,FALSE)</f>
        <v>ERKEK UZUN KOL T-SHIRT</v>
      </c>
      <c r="E92" s="16">
        <f>+VLOOKUP($B92,'CSM  PRICE LIST 26.1.3'!$A$2:$E$110,4,FALSE)</f>
        <v>99.9</v>
      </c>
      <c r="F92" s="9">
        <f>+VLOOKUP($B92,'CSM  PRICE LIST 26.1.3'!$A$2:$E$110,5,FALSE)</f>
        <v>5490</v>
      </c>
      <c r="G92" s="9">
        <f t="shared" si="16"/>
        <v>4300</v>
      </c>
      <c r="H92" s="9">
        <f t="shared" si="27"/>
        <v>3800</v>
      </c>
      <c r="I92" s="9">
        <f t="shared" si="18"/>
        <v>3290</v>
      </c>
      <c r="J92" s="9">
        <f t="shared" si="19"/>
        <v>2745</v>
      </c>
      <c r="K92" s="10">
        <f t="shared" si="20"/>
        <v>1650</v>
      </c>
      <c r="L92" s="7"/>
    </row>
    <row r="93" spans="2:12" ht="18.75" customHeight="1" x14ac:dyDescent="0.2">
      <c r="B93" s="15" t="s">
        <v>54</v>
      </c>
      <c r="C93" s="25" t="str">
        <f>+VLOOKUP($B93,'CSM  PRICE LIST 26.1.3'!$A$2:$E$110,2,FALSE)</f>
        <v>RIDER</v>
      </c>
      <c r="D93" s="32" t="str">
        <f>+VLOOKUP($B93,'CSM  PRICE LIST 26.1.3'!$A$2:$E$110,3,FALSE)</f>
        <v>KADIN UZUN KOL YARIŞMA POLO</v>
      </c>
      <c r="E93" s="16">
        <f>+VLOOKUP($B93,'CSM  PRICE LIST 26.1.3'!$A$2:$E$110,4,FALSE)</f>
        <v>99.9</v>
      </c>
      <c r="F93" s="9">
        <f>+VLOOKUP($B93,'CSM  PRICE LIST 26.1.3'!$A$2:$E$110,5,FALSE)</f>
        <v>5490</v>
      </c>
      <c r="G93" s="9">
        <f t="shared" si="16"/>
        <v>4300</v>
      </c>
      <c r="H93" s="9">
        <f t="shared" si="27"/>
        <v>3800</v>
      </c>
      <c r="I93" s="9">
        <f t="shared" si="18"/>
        <v>3290</v>
      </c>
      <c r="J93" s="9">
        <f t="shared" si="19"/>
        <v>2745</v>
      </c>
      <c r="K93" s="10">
        <f t="shared" si="20"/>
        <v>1650</v>
      </c>
      <c r="L93" s="7"/>
    </row>
    <row r="94" spans="2:12" ht="18.75" customHeight="1" x14ac:dyDescent="0.2">
      <c r="B94" s="15" t="s">
        <v>47</v>
      </c>
      <c r="C94" s="25" t="str">
        <f>+VLOOKUP($B94,'CSM  PRICE LIST 26.1.3'!$A$2:$E$110,2,FALSE)</f>
        <v>RIDER</v>
      </c>
      <c r="D94" s="32" t="str">
        <f>+VLOOKUP($B94,'CSM  PRICE LIST 26.1.3'!$A$2:$E$110,3,FALSE)</f>
        <v>ERKEK UZUN KOL YARIŞMA POLO</v>
      </c>
      <c r="E94" s="16">
        <f>+VLOOKUP($B94,'CSM  PRICE LIST 26.1.3'!$A$2:$E$110,4,FALSE)</f>
        <v>99.9</v>
      </c>
      <c r="F94" s="9">
        <f>+VLOOKUP($B94,'CSM  PRICE LIST 26.1.3'!$A$2:$E$110,5,FALSE)</f>
        <v>5490</v>
      </c>
      <c r="G94" s="9">
        <f t="shared" si="16"/>
        <v>4300</v>
      </c>
      <c r="H94" s="9">
        <f t="shared" si="27"/>
        <v>3800</v>
      </c>
      <c r="I94" s="9">
        <f t="shared" si="18"/>
        <v>3290</v>
      </c>
      <c r="J94" s="9">
        <f t="shared" si="19"/>
        <v>2745</v>
      </c>
      <c r="K94" s="10">
        <f t="shared" si="20"/>
        <v>1650</v>
      </c>
      <c r="L94" s="7"/>
    </row>
    <row r="95" spans="2:12" ht="18.75" customHeight="1" x14ac:dyDescent="0.2">
      <c r="B95" s="15" t="s">
        <v>48</v>
      </c>
      <c r="C95" s="25" t="str">
        <f>+VLOOKUP($B95,'CSM  PRICE LIST 26.1.3'!$A$2:$E$110,2,FALSE)</f>
        <v>RIDER</v>
      </c>
      <c r="D95" s="32" t="str">
        <f>+VLOOKUP($B95,'CSM  PRICE LIST 26.1.3'!$A$2:$E$110,3,FALSE)</f>
        <v>ERKEK UZUN KOL YARIŞMA POLO</v>
      </c>
      <c r="E95" s="16">
        <f>+VLOOKUP($B95,'CSM  PRICE LIST 26.1.3'!$A$2:$E$110,4,FALSE)</f>
        <v>99.9</v>
      </c>
      <c r="F95" s="9">
        <f>+VLOOKUP($B95,'CSM  PRICE LIST 26.1.3'!$A$2:$E$110,5,FALSE)</f>
        <v>5490</v>
      </c>
      <c r="G95" s="9">
        <f t="shared" si="16"/>
        <v>4300</v>
      </c>
      <c r="H95" s="9">
        <f t="shared" si="27"/>
        <v>3800</v>
      </c>
      <c r="I95" s="9">
        <f t="shared" si="18"/>
        <v>3290</v>
      </c>
      <c r="J95" s="9">
        <f t="shared" si="19"/>
        <v>2745</v>
      </c>
      <c r="K95" s="10">
        <f t="shared" si="20"/>
        <v>1650</v>
      </c>
      <c r="L95" s="7"/>
    </row>
    <row r="96" spans="2:12" ht="18.75" customHeight="1" x14ac:dyDescent="0.2">
      <c r="B96" s="15" t="s">
        <v>83</v>
      </c>
      <c r="C96" s="25" t="str">
        <f>+VLOOKUP($B96,'CSM  PRICE LIST 26.1.3'!$A$2:$E$110,2,FALSE)</f>
        <v>RIDER</v>
      </c>
      <c r="D96" s="32" t="str">
        <f>+VLOOKUP($B96,'CSM  PRICE LIST 26.1.3'!$A$2:$E$110,3,FALSE)</f>
        <v>KADIN KISA KOL YARIŞMA POLO</v>
      </c>
      <c r="E96" s="16">
        <f>+VLOOKUP($B96,'CSM  PRICE LIST 26.1.3'!$A$2:$E$110,4,FALSE)</f>
        <v>99.9</v>
      </c>
      <c r="F96" s="9">
        <f>+VLOOKUP($B96,'CSM  PRICE LIST 26.1.3'!$A$2:$E$110,5,FALSE)</f>
        <v>5490</v>
      </c>
      <c r="G96" s="9">
        <f t="shared" si="16"/>
        <v>4300</v>
      </c>
      <c r="H96" s="9">
        <f t="shared" si="27"/>
        <v>3800</v>
      </c>
      <c r="I96" s="9">
        <f t="shared" si="18"/>
        <v>3290</v>
      </c>
      <c r="J96" s="9">
        <f t="shared" si="19"/>
        <v>2745</v>
      </c>
      <c r="K96" s="10">
        <f t="shared" si="20"/>
        <v>1650</v>
      </c>
      <c r="L96" s="7"/>
    </row>
    <row r="97" spans="1:12" ht="18.75" customHeight="1" x14ac:dyDescent="0.2">
      <c r="B97" s="15" t="s">
        <v>66</v>
      </c>
      <c r="C97" s="25" t="str">
        <f>+VLOOKUP($B97,'CSM  PRICE LIST 26.1.3'!$A$2:$E$110,2,FALSE)</f>
        <v>RIDER</v>
      </c>
      <c r="D97" s="32" t="str">
        <f>+VLOOKUP($B97,'CSM  PRICE LIST 26.1.3'!$A$2:$E$110,3,FALSE)</f>
        <v>KADIN FULL GRIP PRO BİNİCİ TAYTI</v>
      </c>
      <c r="E97" s="16">
        <f>+VLOOKUP($B97,'CSM  PRICE LIST 26.1.3'!$A$2:$E$110,4,FALSE)</f>
        <v>109.9</v>
      </c>
      <c r="F97" s="9">
        <f>+VLOOKUP($B97,'CSM  PRICE LIST 26.1.3'!$A$2:$E$110,5,FALSE)</f>
        <v>6040</v>
      </c>
      <c r="G97" s="9">
        <f t="shared" si="16"/>
        <v>4800</v>
      </c>
      <c r="H97" s="9">
        <f t="shared" si="27"/>
        <v>4200</v>
      </c>
      <c r="I97" s="9">
        <f t="shared" si="18"/>
        <v>3620</v>
      </c>
      <c r="J97" s="9">
        <f t="shared" si="19"/>
        <v>3020</v>
      </c>
      <c r="K97" s="10">
        <f t="shared" si="20"/>
        <v>1820</v>
      </c>
      <c r="L97" s="7"/>
    </row>
    <row r="98" spans="1:12" ht="18.75" customHeight="1" x14ac:dyDescent="0.2">
      <c r="B98" s="15" t="s">
        <v>138</v>
      </c>
      <c r="C98" s="25" t="str">
        <f>+VLOOKUP($B98,'CSM  PRICE LIST 26.1.3'!$A$2:$E$110,2,FALSE)</f>
        <v>RIDER</v>
      </c>
      <c r="D98" s="32" t="str">
        <f>+VLOOKUP($B98,'CSM  PRICE LIST 26.1.3'!$A$2:$E$110,3,FALSE)</f>
        <v>KADIN UZUN KOL YARIŞMA POLO X TEAM TÜRKİYE</v>
      </c>
      <c r="E98" s="16">
        <f>+VLOOKUP($B98,'CSM  PRICE LIST 26.1.3'!$A$2:$E$110,4,FALSE)</f>
        <v>109.9</v>
      </c>
      <c r="F98" s="9">
        <f>+VLOOKUP($B98,'CSM  PRICE LIST 26.1.3'!$A$2:$E$110,5,FALSE)</f>
        <v>6040</v>
      </c>
      <c r="G98" s="9">
        <f t="shared" si="16"/>
        <v>4800</v>
      </c>
      <c r="H98" s="9">
        <f t="shared" si="27"/>
        <v>4200</v>
      </c>
      <c r="I98" s="9">
        <f t="shared" si="18"/>
        <v>3620</v>
      </c>
      <c r="J98" s="9">
        <f t="shared" si="19"/>
        <v>3020</v>
      </c>
      <c r="K98" s="10">
        <f t="shared" si="20"/>
        <v>1820</v>
      </c>
      <c r="L98" s="7"/>
    </row>
    <row r="99" spans="1:12" s="24" customFormat="1" ht="15.75" x14ac:dyDescent="0.2">
      <c r="A99" s="6"/>
      <c r="B99" s="15" t="s">
        <v>139</v>
      </c>
      <c r="C99" s="25" t="str">
        <f>+VLOOKUP($B99,'CSM  PRICE LIST 26.1.3'!$A$2:$E$110,2,FALSE)</f>
        <v>RIDER</v>
      </c>
      <c r="D99" s="32" t="str">
        <f>+VLOOKUP($B99,'CSM  PRICE LIST 26.1.3'!$A$2:$E$110,3,FALSE)</f>
        <v>ERKEK UZUN KOL YARIŞMA POLO X TEAM TÜRKİYE</v>
      </c>
      <c r="E99" s="16">
        <f>+VLOOKUP($B99,'CSM  PRICE LIST 26.1.3'!$A$2:$E$110,4,FALSE)</f>
        <v>109.9</v>
      </c>
      <c r="F99" s="9">
        <f>+VLOOKUP($B99,'CSM  PRICE LIST 26.1.3'!$A$2:$E$110,5,FALSE)</f>
        <v>6040</v>
      </c>
      <c r="G99" s="9">
        <f t="shared" si="16"/>
        <v>4800</v>
      </c>
      <c r="H99" s="9">
        <f t="shared" si="27"/>
        <v>4200</v>
      </c>
      <c r="I99" s="9">
        <f t="shared" si="18"/>
        <v>3620</v>
      </c>
      <c r="J99" s="9">
        <f t="shared" si="19"/>
        <v>3020</v>
      </c>
      <c r="K99" s="10">
        <f t="shared" si="20"/>
        <v>1820</v>
      </c>
    </row>
    <row r="100" spans="1:12" s="3" customFormat="1" ht="15.75" x14ac:dyDescent="0.2">
      <c r="B100" s="15" t="s">
        <v>82</v>
      </c>
      <c r="C100" s="25" t="str">
        <f>+VLOOKUP($B100,'CSM  PRICE LIST 26.1.3'!$A$2:$E$110,2,FALSE)</f>
        <v>RIDER</v>
      </c>
      <c r="D100" s="32" t="str">
        <f>+VLOOKUP($B100,'CSM  PRICE LIST 26.1.3'!$A$2:$E$110,3,FALSE)</f>
        <v>STRASS TAŞ DETAYLI KADIN KISA KOL YARIŞMA POLO</v>
      </c>
      <c r="E100" s="16">
        <f>+VLOOKUP($B100,'CSM  PRICE LIST 26.1.3'!$A$2:$E$110,4,FALSE)</f>
        <v>109.9</v>
      </c>
      <c r="F100" s="9">
        <f>+VLOOKUP($B100,'CSM  PRICE LIST 26.1.3'!$A$2:$E$110,5,FALSE)</f>
        <v>6040</v>
      </c>
      <c r="G100" s="9">
        <f t="shared" si="16"/>
        <v>4800</v>
      </c>
      <c r="H100" s="9">
        <f t="shared" si="27"/>
        <v>4200</v>
      </c>
      <c r="I100" s="9">
        <f t="shared" si="18"/>
        <v>3620</v>
      </c>
      <c r="J100" s="9">
        <f t="shared" si="19"/>
        <v>3020</v>
      </c>
      <c r="K100" s="10">
        <f t="shared" si="20"/>
        <v>1820</v>
      </c>
    </row>
    <row r="101" spans="1:12" s="3" customFormat="1" ht="15.75" x14ac:dyDescent="0.2">
      <c r="B101" s="15" t="s">
        <v>51</v>
      </c>
      <c r="C101" s="25" t="str">
        <f>+VLOOKUP($B101,'CSM  PRICE LIST 26.1.3'!$A$2:$E$110,2,FALSE)</f>
        <v>RIDER</v>
      </c>
      <c r="D101" s="32" t="str">
        <f>+VLOOKUP($B101,'CSM  PRICE LIST 26.1.3'!$A$2:$E$110,3,FALSE)</f>
        <v>ERKEK UZUN KOL YARIŞMA GÖMLEĞİ - DÜĞMELİ YAKA</v>
      </c>
      <c r="E101" s="16">
        <f>+VLOOKUP($B101,'CSM  PRICE LIST 26.1.3'!$A$2:$E$110,4,FALSE)</f>
        <v>129.9</v>
      </c>
      <c r="F101" s="9">
        <f>+VLOOKUP($B101,'CSM  PRICE LIST 26.1.3'!$A$2:$E$110,5,FALSE)</f>
        <v>7140</v>
      </c>
      <c r="G101" s="9">
        <f>+ROUNDDOWN(F101*0.8,-2)</f>
        <v>5700</v>
      </c>
      <c r="H101" s="9">
        <f>+ROUNDDOWN(F101*0.7,-2)</f>
        <v>4900</v>
      </c>
      <c r="I101" s="9">
        <f t="shared" si="18"/>
        <v>4280</v>
      </c>
      <c r="J101" s="9">
        <f t="shared" si="19"/>
        <v>3570</v>
      </c>
      <c r="K101" s="10">
        <f t="shared" si="20"/>
        <v>2150</v>
      </c>
    </row>
    <row r="102" spans="1:12" s="3" customFormat="1" ht="15.75" x14ac:dyDescent="0.2">
      <c r="B102" s="15" t="s">
        <v>143</v>
      </c>
      <c r="C102" s="25" t="str">
        <f>+VLOOKUP($B102,'CSM  PRICE LIST 26.1.3'!$A$2:$E$110,2,FALSE)</f>
        <v>RIDER</v>
      </c>
      <c r="D102" s="32" t="str">
        <f>+VLOOKUP($B102,'CSM  PRICE LIST 26.1.3'!$A$2:$E$110,3,FALSE)</f>
        <v>KADIN UZUN KOL CASUAL GÖMLEK</v>
      </c>
      <c r="E102" s="16">
        <f>+VLOOKUP($B102,'CSM  PRICE LIST 26.1.3'!$A$2:$E$110,4,FALSE)</f>
        <v>129.9</v>
      </c>
      <c r="F102" s="9">
        <f>+VLOOKUP($B102,'CSM  PRICE LIST 26.1.3'!$A$2:$E$110,5,FALSE)</f>
        <v>7140</v>
      </c>
      <c r="G102" s="9">
        <f t="shared" si="16"/>
        <v>5700</v>
      </c>
      <c r="H102" s="9">
        <f t="shared" ref="H102:H107" si="28">+ROUNDDOWN(F102*0.7,-2)</f>
        <v>4900</v>
      </c>
      <c r="I102" s="9">
        <f t="shared" si="18"/>
        <v>4280</v>
      </c>
      <c r="J102" s="9">
        <f t="shared" si="19"/>
        <v>3570</v>
      </c>
      <c r="K102" s="10">
        <f t="shared" si="20"/>
        <v>2150</v>
      </c>
    </row>
    <row r="103" spans="1:12" s="3" customFormat="1" ht="15.75" x14ac:dyDescent="0.2">
      <c r="B103" s="15" t="s">
        <v>56</v>
      </c>
      <c r="C103" s="25" t="str">
        <f>+VLOOKUP($B103,'CSM  PRICE LIST 26.1.3'!$A$2:$E$110,2,FALSE)</f>
        <v>RIDER</v>
      </c>
      <c r="D103" s="32" t="str">
        <f>+VLOOKUP($B103,'CSM  PRICE LIST 26.1.3'!$A$2:$E$110,3,FALSE)</f>
        <v>KADIN ÖN PANELLİ YARIŞMA GÖMLEĞİ</v>
      </c>
      <c r="E103" s="16">
        <f>+VLOOKUP($B103,'CSM  PRICE LIST 26.1.3'!$A$2:$E$110,4,FALSE)</f>
        <v>129.9</v>
      </c>
      <c r="F103" s="9">
        <f>+VLOOKUP($B103,'CSM  PRICE LIST 26.1.3'!$A$2:$E$110,5,FALSE)</f>
        <v>7140</v>
      </c>
      <c r="G103" s="9">
        <f t="shared" si="16"/>
        <v>5700</v>
      </c>
      <c r="H103" s="9">
        <f t="shared" si="28"/>
        <v>4900</v>
      </c>
      <c r="I103" s="9">
        <f t="shared" si="18"/>
        <v>4280</v>
      </c>
      <c r="J103" s="9">
        <f t="shared" si="19"/>
        <v>3570</v>
      </c>
      <c r="K103" s="10">
        <f t="shared" si="20"/>
        <v>2150</v>
      </c>
    </row>
    <row r="104" spans="1:12" s="3" customFormat="1" ht="15.75" x14ac:dyDescent="0.2">
      <c r="B104" s="15" t="s">
        <v>151</v>
      </c>
      <c r="C104" s="25" t="str">
        <f>+VLOOKUP($B104,'CSM  PRICE LIST 26.1.3'!$A$2:$E$110,2,FALSE)</f>
        <v>RIDER</v>
      </c>
      <c r="D104" s="32" t="str">
        <f>+VLOOKUP($B104,'CSM  PRICE LIST 26.1.3'!$A$2:$E$110,3,FALSE)</f>
        <v>KADIN OVERSIZE CASUAL GÖMLEK</v>
      </c>
      <c r="E104" s="16">
        <f>+VLOOKUP($B104,'CSM  PRICE LIST 26.1.3'!$A$2:$E$110,4,FALSE)</f>
        <v>129.9</v>
      </c>
      <c r="F104" s="9">
        <f>+VLOOKUP($B104,'CSM  PRICE LIST 26.1.3'!$A$2:$E$110,5,FALSE)</f>
        <v>7140</v>
      </c>
      <c r="G104" s="9">
        <f t="shared" ref="G104" si="29">+ROUNDDOWN(F104*0.8,-2)</f>
        <v>5700</v>
      </c>
      <c r="H104" s="9">
        <f t="shared" ref="H104" si="30">+ROUNDDOWN(F104*0.7,-2)</f>
        <v>4900</v>
      </c>
      <c r="I104" s="9">
        <f t="shared" ref="I104" si="31">+ROUNDDOWN(F104*0.6,-1)</f>
        <v>4280</v>
      </c>
      <c r="J104" s="9">
        <f t="shared" ref="J104" si="32">ROUNDUP(+F104*0.5,0)</f>
        <v>3570</v>
      </c>
      <c r="K104" s="10">
        <f t="shared" ref="K104" si="33">ROUNDUP(+F104*0.3,-1)</f>
        <v>2150</v>
      </c>
    </row>
    <row r="105" spans="1:12" s="3" customFormat="1" ht="15.75" x14ac:dyDescent="0.2">
      <c r="B105" s="15" t="s">
        <v>140</v>
      </c>
      <c r="C105" s="25" t="str">
        <f>+VLOOKUP($B105,'CSM  PRICE LIST 26.1.3'!$A$2:$E$110,2,FALSE)</f>
        <v>RIDER</v>
      </c>
      <c r="D105" s="32" t="str">
        <f>+VLOOKUP($B105,'CSM  PRICE LIST 26.1.3'!$A$2:$E$110,3,FALSE)</f>
        <v>ERKEK UZUN KOL YARIŞMA GÖMLEĞİ - AÇIK YAKA</v>
      </c>
      <c r="E105" s="16">
        <f>+VLOOKUP($B105,'CSM  PRICE LIST 26.1.3'!$A$2:$E$110,4,FALSE)</f>
        <v>129.9</v>
      </c>
      <c r="F105" s="9">
        <f>+VLOOKUP($B105,'CSM  PRICE LIST 26.1.3'!$A$2:$E$110,5,FALSE)</f>
        <v>7140</v>
      </c>
      <c r="G105" s="9">
        <f t="shared" si="16"/>
        <v>5700</v>
      </c>
      <c r="H105" s="9">
        <f t="shared" si="28"/>
        <v>4900</v>
      </c>
      <c r="I105" s="9">
        <f t="shared" si="18"/>
        <v>4280</v>
      </c>
      <c r="J105" s="9">
        <f t="shared" si="19"/>
        <v>3570</v>
      </c>
      <c r="K105" s="10">
        <f t="shared" si="20"/>
        <v>2150</v>
      </c>
    </row>
    <row r="106" spans="1:12" s="3" customFormat="1" ht="15.75" x14ac:dyDescent="0.2">
      <c r="B106" s="15" t="s">
        <v>142</v>
      </c>
      <c r="C106" s="25" t="str">
        <f>+VLOOKUP($B106,'CSM  PRICE LIST 26.1.3'!$A$2:$E$110,2,FALSE)</f>
        <v>RIDER</v>
      </c>
      <c r="D106" s="32" t="str">
        <f>+VLOOKUP($B106,'CSM  PRICE LIST 26.1.3'!$A$2:$E$110,3,FALSE)</f>
        <v>ERKEK UZUN KOL YARIŞMA GÖMLEĞİ - AÇIK YAKA</v>
      </c>
      <c r="E106" s="16">
        <f>+VLOOKUP($B106,'CSM  PRICE LIST 26.1.3'!$A$2:$E$110,4,FALSE)</f>
        <v>129.9</v>
      </c>
      <c r="F106" s="9">
        <f>+VLOOKUP($B106,'CSM  PRICE LIST 26.1.3'!$A$2:$E$110,5,FALSE)</f>
        <v>7140</v>
      </c>
      <c r="G106" s="9">
        <f t="shared" si="16"/>
        <v>5700</v>
      </c>
      <c r="H106" s="9">
        <f t="shared" si="28"/>
        <v>4900</v>
      </c>
      <c r="I106" s="9">
        <f t="shared" si="18"/>
        <v>4280</v>
      </c>
      <c r="J106" s="9">
        <f t="shared" si="19"/>
        <v>3570</v>
      </c>
      <c r="K106" s="10">
        <f t="shared" si="20"/>
        <v>2150</v>
      </c>
    </row>
    <row r="107" spans="1:12" s="3" customFormat="1" ht="15.75" x14ac:dyDescent="0.2">
      <c r="B107" s="15" t="s">
        <v>65</v>
      </c>
      <c r="C107" s="25" t="str">
        <f>+VLOOKUP($B107,'CSM  PRICE LIST 26.1.3'!$A$2:$E$110,2,FALSE)</f>
        <v>RIDER</v>
      </c>
      <c r="D107" s="32" t="str">
        <f>+VLOOKUP($B107,'CSM  PRICE LIST 26.1.3'!$A$2:$E$110,3,FALSE)</f>
        <v>ÇOCUK UNISEX BİNİCİ PANTOLONU</v>
      </c>
      <c r="E107" s="16">
        <f>+VLOOKUP($B107,'CSM  PRICE LIST 26.1.3'!$A$2:$E$110,4,FALSE)</f>
        <v>159.9</v>
      </c>
      <c r="F107" s="9">
        <f>+VLOOKUP($B107,'CSM  PRICE LIST 26.1.3'!$A$2:$E$110,5,FALSE)</f>
        <v>8790</v>
      </c>
      <c r="G107" s="9">
        <f t="shared" si="16"/>
        <v>7000</v>
      </c>
      <c r="H107" s="9">
        <f t="shared" si="28"/>
        <v>6100</v>
      </c>
      <c r="I107" s="9">
        <f t="shared" si="18"/>
        <v>5270</v>
      </c>
      <c r="J107" s="9">
        <f t="shared" si="19"/>
        <v>4395</v>
      </c>
      <c r="K107" s="10">
        <f t="shared" si="20"/>
        <v>2640</v>
      </c>
    </row>
    <row r="108" spans="1:12" s="3" customFormat="1" ht="15.75" x14ac:dyDescent="0.2">
      <c r="B108" s="15" t="s">
        <v>148</v>
      </c>
      <c r="C108" s="25" t="str">
        <f>+VLOOKUP($B108,'CSM  PRICE LIST 26.1.3'!$A$2:$E$110,2,FALSE)</f>
        <v>RIDER</v>
      </c>
      <c r="D108" s="32" t="str">
        <f>+VLOOKUP($B108,'CSM  PRICE LIST 26.1.3'!$A$2:$E$110,3,FALSE)</f>
        <v>KIŞLIK ÇOCUK UNISEX BİNİCİ PANTOLONU</v>
      </c>
      <c r="E108" s="16">
        <f>+VLOOKUP($B108,'CSM  PRICE LIST 26.1.3'!$A$2:$E$110,4,FALSE)</f>
        <v>169.9</v>
      </c>
      <c r="F108" s="9">
        <f>+VLOOKUP($B108,'CSM  PRICE LIST 26.1.3'!$A$2:$E$110,5,FALSE)</f>
        <v>9340</v>
      </c>
      <c r="G108" s="9">
        <f t="shared" si="16"/>
        <v>7400</v>
      </c>
      <c r="H108" s="9">
        <f t="shared" ref="H108:H112" si="34">+ROUNDDOWN(F108*0.7,-2)</f>
        <v>6500</v>
      </c>
      <c r="I108" s="9">
        <f t="shared" ref="I108:I112" si="35">+ROUNDDOWN(F108*0.6,-1)</f>
        <v>5600</v>
      </c>
      <c r="J108" s="9">
        <f t="shared" ref="J108:J112" si="36">ROUNDUP(+F108*0.5,0)</f>
        <v>4670</v>
      </c>
      <c r="K108" s="10">
        <f t="shared" ref="K108:K112" si="37">ROUNDUP(+F108*0.3,-1)</f>
        <v>2810</v>
      </c>
    </row>
    <row r="109" spans="1:12" s="3" customFormat="1" ht="15.75" x14ac:dyDescent="0.2">
      <c r="B109" s="15" t="s">
        <v>64</v>
      </c>
      <c r="C109" s="25" t="str">
        <f>+VLOOKUP($B109,'CSM  PRICE LIST 26.1.3'!$A$2:$E$110,2,FALSE)</f>
        <v>RIDER</v>
      </c>
      <c r="D109" s="32" t="str">
        <f>+VLOOKUP($B109,'CSM  PRICE LIST 26.1.3'!$A$2:$E$110,3,FALSE)</f>
        <v>KADIN PRO BİNİCİ PANTOLONU</v>
      </c>
      <c r="E109" s="16">
        <f>+VLOOKUP($B109,'CSM  PRICE LIST 26.1.3'!$A$2:$E$110,4,FALSE)</f>
        <v>219.9</v>
      </c>
      <c r="F109" s="9">
        <f>+VLOOKUP($B109,'CSM  PRICE LIST 26.1.3'!$A$2:$E$110,5,FALSE)</f>
        <v>12090</v>
      </c>
      <c r="G109" s="9">
        <f t="shared" si="16"/>
        <v>9600</v>
      </c>
      <c r="H109" s="9">
        <f t="shared" si="34"/>
        <v>8400</v>
      </c>
      <c r="I109" s="9">
        <f t="shared" si="35"/>
        <v>7250</v>
      </c>
      <c r="J109" s="9">
        <f t="shared" si="36"/>
        <v>6045</v>
      </c>
      <c r="K109" s="10">
        <f t="shared" si="37"/>
        <v>3630</v>
      </c>
    </row>
    <row r="110" spans="1:12" s="3" customFormat="1" ht="15.75" x14ac:dyDescent="0.2">
      <c r="B110" s="15" t="s">
        <v>149</v>
      </c>
      <c r="C110" s="25" t="str">
        <f>+VLOOKUP($B110,'CSM  PRICE LIST 26.1.3'!$A$2:$E$110,2,FALSE)</f>
        <v>RIDER</v>
      </c>
      <c r="D110" s="32" t="str">
        <f>+VLOOKUP($B110,'CSM  PRICE LIST 26.1.3'!$A$2:$E$110,3,FALSE)</f>
        <v>KIŞLIK KADIN PRO BİNİCİ PANTOLONU</v>
      </c>
      <c r="E110" s="16">
        <f>+VLOOKUP($B110,'CSM  PRICE LIST 26.1.3'!$A$2:$E$110,4,FALSE)</f>
        <v>229.9</v>
      </c>
      <c r="F110" s="9">
        <f>+VLOOKUP($B110,'CSM  PRICE LIST 26.1.3'!$A$2:$E$110,5,FALSE)</f>
        <v>12640</v>
      </c>
      <c r="G110" s="9">
        <f t="shared" si="16"/>
        <v>10100</v>
      </c>
      <c r="H110" s="9">
        <f t="shared" si="34"/>
        <v>8800</v>
      </c>
      <c r="I110" s="9">
        <f t="shared" si="35"/>
        <v>7580</v>
      </c>
      <c r="J110" s="9">
        <f t="shared" si="36"/>
        <v>6320</v>
      </c>
      <c r="K110" s="10">
        <f t="shared" si="37"/>
        <v>3800</v>
      </c>
    </row>
    <row r="111" spans="1:12" s="3" customFormat="1" ht="15.75" x14ac:dyDescent="0.2">
      <c r="B111" s="15" t="s">
        <v>63</v>
      </c>
      <c r="C111" s="25" t="str">
        <f>+VLOOKUP($B111,'CSM  PRICE LIST 26.1.3'!$A$2:$E$110,2,FALSE)</f>
        <v>RIDER</v>
      </c>
      <c r="D111" s="32" t="str">
        <f>+VLOOKUP($B111,'CSM  PRICE LIST 26.1.3'!$A$2:$E$110,3,FALSE)</f>
        <v>ERKEK PRO BİNİCİ PANTOLONU</v>
      </c>
      <c r="E111" s="16">
        <f>+VLOOKUP($B111,'CSM  PRICE LIST 26.1.3'!$A$2:$E$110,4,FALSE)</f>
        <v>219.9</v>
      </c>
      <c r="F111" s="9">
        <f>+VLOOKUP($B111,'CSM  PRICE LIST 26.1.3'!$A$2:$E$110,5,FALSE)</f>
        <v>12090</v>
      </c>
      <c r="G111" s="9">
        <f t="shared" si="16"/>
        <v>9600</v>
      </c>
      <c r="H111" s="9">
        <f t="shared" si="34"/>
        <v>8400</v>
      </c>
      <c r="I111" s="9">
        <f t="shared" si="35"/>
        <v>7250</v>
      </c>
      <c r="J111" s="9">
        <f t="shared" si="36"/>
        <v>6045</v>
      </c>
      <c r="K111" s="10">
        <f t="shared" si="37"/>
        <v>3630</v>
      </c>
    </row>
    <row r="112" spans="1:12" s="3" customFormat="1" ht="15.75" x14ac:dyDescent="0.2">
      <c r="B112" s="15" t="s">
        <v>150</v>
      </c>
      <c r="C112" s="25" t="str">
        <f>+VLOOKUP($B112,'CSM  PRICE LIST 26.1.3'!$A$2:$E$110,2,FALSE)</f>
        <v>RIDER</v>
      </c>
      <c r="D112" s="32" t="str">
        <f>+VLOOKUP($B112,'CSM  PRICE LIST 26.1.3'!$A$2:$E$110,3,FALSE)</f>
        <v>KIŞLIK ERKEK PRO BİNİCİ PANTOLONU</v>
      </c>
      <c r="E112" s="16">
        <f>+VLOOKUP($B112,'CSM  PRICE LIST 26.1.3'!$A$2:$E$110,4,FALSE)</f>
        <v>229.9</v>
      </c>
      <c r="F112" s="9">
        <f>+VLOOKUP($B112,'CSM  PRICE LIST 26.1.3'!$A$2:$E$110,5,FALSE)</f>
        <v>12640</v>
      </c>
      <c r="G112" s="9">
        <f t="shared" si="16"/>
        <v>10100</v>
      </c>
      <c r="H112" s="9">
        <f t="shared" si="34"/>
        <v>8800</v>
      </c>
      <c r="I112" s="9">
        <f t="shared" si="35"/>
        <v>7580</v>
      </c>
      <c r="J112" s="9">
        <f t="shared" si="36"/>
        <v>6320</v>
      </c>
      <c r="K112" s="10">
        <f t="shared" si="37"/>
        <v>3800</v>
      </c>
    </row>
    <row r="113" spans="1:11" s="3" customFormat="1" ht="15.75" x14ac:dyDescent="0.2">
      <c r="B113" s="15" t="s">
        <v>68</v>
      </c>
      <c r="C113" s="25" t="str">
        <f>+VLOOKUP($B113,'CSM  PRICE LIST 26.1.3'!$A$2:$E$110,2,FALSE)</f>
        <v>RIDER</v>
      </c>
      <c r="D113" s="32" t="str">
        <f>+VLOOKUP($B113,'CSM  PRICE LIST 26.1.3'!$A$2:$E$110,3,FALSE)</f>
        <v>ERKEK PRO YARIŞMA CEKETİ</v>
      </c>
      <c r="E113" s="16">
        <f>+VLOOKUP($B113,'CSM  PRICE LIST 26.1.3'!$A$2:$E$110,4,FALSE)</f>
        <v>449.9</v>
      </c>
      <c r="F113" s="9">
        <f>+VLOOKUP($B113,'CSM  PRICE LIST 26.1.3'!$A$2:$E$110,5,FALSE)</f>
        <v>24740</v>
      </c>
      <c r="G113" s="9">
        <f>+ROUNDDOWN(F113*0.8,-2)</f>
        <v>19700</v>
      </c>
      <c r="H113" s="9">
        <f>+ROUNDDOWN(F113*0.7,-2)</f>
        <v>17300</v>
      </c>
      <c r="I113" s="9">
        <f t="shared" ref="I113:I117" si="38">+ROUNDDOWN(F113*0.6,-1)</f>
        <v>14840</v>
      </c>
      <c r="J113" s="9">
        <f t="shared" ref="J113:J117" si="39">ROUNDUP(+F113*0.5,0)</f>
        <v>12370</v>
      </c>
      <c r="K113" s="10">
        <f t="shared" ref="K113:K117" si="40">ROUNDUP(+F113*0.3,-1)</f>
        <v>7430</v>
      </c>
    </row>
    <row r="114" spans="1:11" s="3" customFormat="1" ht="15.75" x14ac:dyDescent="0.2">
      <c r="B114" s="15" t="s">
        <v>69</v>
      </c>
      <c r="C114" s="25" t="str">
        <f>+VLOOKUP($B114,'CSM  PRICE LIST 26.1.3'!$A$2:$E$110,2,FALSE)</f>
        <v>RIDER</v>
      </c>
      <c r="D114" s="32" t="str">
        <f>+VLOOKUP($B114,'CSM  PRICE LIST 26.1.3'!$A$2:$E$110,3,FALSE)</f>
        <v>KADIN PRO YARIŞMA CEKETİ</v>
      </c>
      <c r="E114" s="16">
        <f>+VLOOKUP($B114,'CSM  PRICE LIST 26.1.3'!$A$2:$E$110,4,FALSE)</f>
        <v>449.9</v>
      </c>
      <c r="F114" s="9">
        <f>+VLOOKUP($B114,'CSM  PRICE LIST 26.1.3'!$A$2:$E$110,5,FALSE)</f>
        <v>24740</v>
      </c>
      <c r="G114" s="9">
        <f t="shared" ref="G114:G117" si="41">+ROUNDDOWN(F114*0.8,-2)</f>
        <v>19700</v>
      </c>
      <c r="H114" s="9">
        <f t="shared" ref="H114:H117" si="42">+ROUNDDOWN(F114*0.7,-2)</f>
        <v>17300</v>
      </c>
      <c r="I114" s="9">
        <f t="shared" si="38"/>
        <v>14840</v>
      </c>
      <c r="J114" s="9">
        <f t="shared" si="39"/>
        <v>12370</v>
      </c>
      <c r="K114" s="10">
        <f t="shared" si="40"/>
        <v>7430</v>
      </c>
    </row>
    <row r="115" spans="1:11" s="3" customFormat="1" ht="15.75" x14ac:dyDescent="0.2">
      <c r="B115" s="15" t="s">
        <v>112</v>
      </c>
      <c r="C115" s="25" t="str">
        <f>+VLOOKUP($B115,'CSM  PRICE LIST 26.1.3'!$A$2:$E$110,2,FALSE)</f>
        <v>RIDER</v>
      </c>
      <c r="D115" s="32" t="str">
        <f>+VLOOKUP($B115,'CSM  PRICE LIST 26.1.3'!$A$2:$E$110,3,FALSE)</f>
        <v>KADIN PRO YARIŞMA CEKETİ</v>
      </c>
      <c r="E115" s="16">
        <f>+VLOOKUP($B115,'CSM  PRICE LIST 26.1.3'!$A$2:$E$110,4,FALSE)</f>
        <v>449.9</v>
      </c>
      <c r="F115" s="9">
        <f>+VLOOKUP($B115,'CSM  PRICE LIST 26.1.3'!$A$2:$E$110,5,FALSE)</f>
        <v>24740</v>
      </c>
      <c r="G115" s="9">
        <f t="shared" si="41"/>
        <v>19700</v>
      </c>
      <c r="H115" s="9">
        <f t="shared" si="42"/>
        <v>17300</v>
      </c>
      <c r="I115" s="9">
        <f t="shared" si="38"/>
        <v>14840</v>
      </c>
      <c r="J115" s="9">
        <f t="shared" si="39"/>
        <v>12370</v>
      </c>
      <c r="K115" s="10">
        <f t="shared" si="40"/>
        <v>7430</v>
      </c>
    </row>
    <row r="116" spans="1:11" s="3" customFormat="1" ht="15.75" x14ac:dyDescent="0.2">
      <c r="B116" s="15" t="s">
        <v>110</v>
      </c>
      <c r="C116" s="25" t="str">
        <f>+VLOOKUP($B116,'CSM  PRICE LIST 26.1.3'!$A$2:$E$110,2,FALSE)</f>
        <v>RIDER</v>
      </c>
      <c r="D116" s="32" t="str">
        <f>+VLOOKUP($B116,'CSM  PRICE LIST 26.1.3'!$A$2:$E$110,3,FALSE)</f>
        <v>ERKEK PRO YARIŞMA CEKETİ X TEAM TÜRKİYE</v>
      </c>
      <c r="E116" s="16">
        <f>+VLOOKUP($B116,'CSM  PRICE LIST 26.1.3'!$A$2:$E$110,4,FALSE)</f>
        <v>499.9</v>
      </c>
      <c r="F116" s="9">
        <f>+VLOOKUP($B116,'CSM  PRICE LIST 26.1.3'!$A$2:$E$110,5,FALSE)</f>
        <v>27490</v>
      </c>
      <c r="G116" s="9">
        <f t="shared" si="41"/>
        <v>21900</v>
      </c>
      <c r="H116" s="9">
        <f t="shared" si="42"/>
        <v>19200</v>
      </c>
      <c r="I116" s="9">
        <f t="shared" si="38"/>
        <v>16490</v>
      </c>
      <c r="J116" s="9">
        <f t="shared" si="39"/>
        <v>13745</v>
      </c>
      <c r="K116" s="10">
        <f t="shared" si="40"/>
        <v>8250</v>
      </c>
    </row>
    <row r="117" spans="1:11" s="3" customFormat="1" ht="16.5" thickBot="1" x14ac:dyDescent="0.25">
      <c r="B117" s="35" t="s">
        <v>111</v>
      </c>
      <c r="C117" s="36" t="str">
        <f>+VLOOKUP($B117,'CSM  PRICE LIST 26.1.3'!$A$2:$E$110,2,FALSE)</f>
        <v>RIDER</v>
      </c>
      <c r="D117" s="37" t="str">
        <f>+VLOOKUP($B117,'CSM  PRICE LIST 26.1.3'!$A$2:$E$110,3,FALSE)</f>
        <v>KADIN PRO YARIŞMA CEKETİ X TEAM TÜRKİYE</v>
      </c>
      <c r="E117" s="38">
        <f>+VLOOKUP($B117,'CSM  PRICE LIST 26.1.3'!$A$2:$E$110,4,FALSE)</f>
        <v>499.9</v>
      </c>
      <c r="F117" s="39">
        <f>+VLOOKUP($B117,'CSM  PRICE LIST 26.1.3'!$A$2:$E$110,5,FALSE)</f>
        <v>27490</v>
      </c>
      <c r="G117" s="39">
        <f t="shared" si="41"/>
        <v>21900</v>
      </c>
      <c r="H117" s="39">
        <f t="shared" si="42"/>
        <v>19200</v>
      </c>
      <c r="I117" s="39">
        <f t="shared" si="38"/>
        <v>16490</v>
      </c>
      <c r="J117" s="39">
        <f t="shared" si="39"/>
        <v>13745</v>
      </c>
      <c r="K117" s="40">
        <f t="shared" si="40"/>
        <v>8250</v>
      </c>
    </row>
    <row r="118" spans="1:11" s="3" customFormat="1" x14ac:dyDescent="0.2">
      <c r="D118" s="33"/>
    </row>
    <row r="119" spans="1:11" s="3" customFormat="1" x14ac:dyDescent="0.2">
      <c r="B119" s="64" t="s">
        <v>134</v>
      </c>
      <c r="D119" s="33"/>
    </row>
    <row r="120" spans="1:11" x14ac:dyDescent="0.2">
      <c r="A120"/>
      <c r="B120"/>
      <c r="C120"/>
      <c r="E120"/>
    </row>
    <row r="121" spans="1:11" x14ac:dyDescent="0.2">
      <c r="A121"/>
      <c r="B121"/>
      <c r="C121"/>
      <c r="E121"/>
    </row>
    <row r="122" spans="1:11" x14ac:dyDescent="0.2">
      <c r="A122"/>
      <c r="B122"/>
      <c r="C122"/>
      <c r="E122"/>
    </row>
    <row r="123" spans="1:11" x14ac:dyDescent="0.2">
      <c r="A123"/>
      <c r="B123"/>
      <c r="C123"/>
      <c r="E123"/>
    </row>
    <row r="124" spans="1:11" x14ac:dyDescent="0.2">
      <c r="A124"/>
      <c r="B124"/>
      <c r="C124"/>
      <c r="E124"/>
    </row>
    <row r="125" spans="1:11" x14ac:dyDescent="0.2">
      <c r="A125"/>
      <c r="B125"/>
      <c r="C125"/>
      <c r="E125"/>
    </row>
    <row r="126" spans="1:11" x14ac:dyDescent="0.2">
      <c r="A126"/>
      <c r="B126"/>
      <c r="C126"/>
      <c r="E126"/>
    </row>
    <row r="127" spans="1:11" x14ac:dyDescent="0.2">
      <c r="A127"/>
      <c r="B127"/>
      <c r="C127"/>
      <c r="E127"/>
    </row>
    <row r="128" spans="1:11" x14ac:dyDescent="0.2">
      <c r="A128"/>
      <c r="B128"/>
      <c r="C128"/>
      <c r="E128"/>
    </row>
    <row r="129" spans="4:4" customFormat="1" x14ac:dyDescent="0.2">
      <c r="D129" s="34"/>
    </row>
    <row r="130" spans="4:4" customFormat="1" x14ac:dyDescent="0.2">
      <c r="D130" s="34"/>
    </row>
    <row r="131" spans="4:4" customFormat="1" x14ac:dyDescent="0.2">
      <c r="D131" s="34"/>
    </row>
    <row r="132" spans="4:4" customFormat="1" x14ac:dyDescent="0.2">
      <c r="D132" s="34"/>
    </row>
    <row r="133" spans="4:4" customFormat="1" x14ac:dyDescent="0.2">
      <c r="D133" s="34"/>
    </row>
    <row r="134" spans="4:4" customFormat="1" x14ac:dyDescent="0.2">
      <c r="D134" s="34"/>
    </row>
    <row r="135" spans="4:4" customFormat="1" x14ac:dyDescent="0.2">
      <c r="D135" s="34"/>
    </row>
    <row r="136" spans="4:4" customFormat="1" x14ac:dyDescent="0.2">
      <c r="D136" s="34"/>
    </row>
    <row r="137" spans="4:4" customFormat="1" x14ac:dyDescent="0.2">
      <c r="D137" s="34"/>
    </row>
    <row r="138" spans="4:4" customFormat="1" x14ac:dyDescent="0.2">
      <c r="D138" s="34"/>
    </row>
    <row r="139" spans="4:4" customFormat="1" x14ac:dyDescent="0.2">
      <c r="D139" s="34"/>
    </row>
    <row r="140" spans="4:4" customFormat="1" x14ac:dyDescent="0.2">
      <c r="D140" s="34"/>
    </row>
    <row r="141" spans="4:4" customFormat="1" x14ac:dyDescent="0.2">
      <c r="D141" s="34"/>
    </row>
    <row r="142" spans="4:4" customFormat="1" x14ac:dyDescent="0.2">
      <c r="D142" s="34"/>
    </row>
    <row r="143" spans="4:4" customFormat="1" x14ac:dyDescent="0.2">
      <c r="D143" s="34"/>
    </row>
    <row r="144" spans="4:4" customFormat="1" x14ac:dyDescent="0.2">
      <c r="D144" s="34"/>
    </row>
    <row r="145" spans="4:4" customFormat="1" x14ac:dyDescent="0.2">
      <c r="D145" s="34"/>
    </row>
    <row r="146" spans="4:4" customFormat="1" x14ac:dyDescent="0.2">
      <c r="D146" s="34"/>
    </row>
    <row r="147" spans="4:4" customFormat="1" x14ac:dyDescent="0.2">
      <c r="D147" s="34"/>
    </row>
    <row r="148" spans="4:4" customFormat="1" x14ac:dyDescent="0.2">
      <c r="D148" s="34"/>
    </row>
    <row r="149" spans="4:4" customFormat="1" x14ac:dyDescent="0.2">
      <c r="D149" s="34"/>
    </row>
    <row r="150" spans="4:4" customFormat="1" x14ac:dyDescent="0.2">
      <c r="D150" s="34"/>
    </row>
    <row r="151" spans="4:4" customFormat="1" x14ac:dyDescent="0.2">
      <c r="D151" s="34"/>
    </row>
    <row r="152" spans="4:4" customFormat="1" x14ac:dyDescent="0.2">
      <c r="D152" s="34"/>
    </row>
    <row r="153" spans="4:4" customFormat="1" x14ac:dyDescent="0.2">
      <c r="D153" s="34"/>
    </row>
    <row r="154" spans="4:4" customFormat="1" x14ac:dyDescent="0.2">
      <c r="D154" s="34"/>
    </row>
    <row r="155" spans="4:4" customFormat="1" x14ac:dyDescent="0.2">
      <c r="D155" s="34"/>
    </row>
    <row r="156" spans="4:4" customFormat="1" x14ac:dyDescent="0.2">
      <c r="D156" s="34"/>
    </row>
    <row r="157" spans="4:4" customFormat="1" x14ac:dyDescent="0.2">
      <c r="D157" s="34"/>
    </row>
    <row r="158" spans="4:4" customFormat="1" x14ac:dyDescent="0.2">
      <c r="D158" s="34"/>
    </row>
    <row r="159" spans="4:4" customFormat="1" x14ac:dyDescent="0.2">
      <c r="D159" s="34"/>
    </row>
    <row r="160" spans="4:4" customFormat="1" x14ac:dyDescent="0.2">
      <c r="D160" s="34"/>
    </row>
    <row r="161" spans="4:4" customFormat="1" x14ac:dyDescent="0.2">
      <c r="D161" s="34"/>
    </row>
    <row r="162" spans="4:4" customFormat="1" x14ac:dyDescent="0.2">
      <c r="D162" s="34"/>
    </row>
    <row r="163" spans="4:4" customFormat="1" x14ac:dyDescent="0.2">
      <c r="D163" s="34"/>
    </row>
    <row r="164" spans="4:4" customFormat="1" x14ac:dyDescent="0.2">
      <c r="D164" s="34"/>
    </row>
    <row r="165" spans="4:4" customFormat="1" x14ac:dyDescent="0.2">
      <c r="D165" s="34"/>
    </row>
    <row r="166" spans="4:4" customFormat="1" x14ac:dyDescent="0.2">
      <c r="D166" s="34"/>
    </row>
    <row r="167" spans="4:4" customFormat="1" x14ac:dyDescent="0.2">
      <c r="D167" s="34"/>
    </row>
    <row r="168" spans="4:4" customFormat="1" x14ac:dyDescent="0.2">
      <c r="D168" s="34"/>
    </row>
    <row r="169" spans="4:4" customFormat="1" x14ac:dyDescent="0.2">
      <c r="D169" s="34"/>
    </row>
    <row r="170" spans="4:4" customFormat="1" x14ac:dyDescent="0.2">
      <c r="D170" s="34"/>
    </row>
    <row r="171" spans="4:4" customFormat="1" x14ac:dyDescent="0.2">
      <c r="D171" s="34"/>
    </row>
    <row r="172" spans="4:4" customFormat="1" x14ac:dyDescent="0.2">
      <c r="D172" s="34"/>
    </row>
    <row r="173" spans="4:4" customFormat="1" x14ac:dyDescent="0.2">
      <c r="D173" s="34"/>
    </row>
    <row r="174" spans="4:4" customFormat="1" x14ac:dyDescent="0.2">
      <c r="D174" s="34"/>
    </row>
    <row r="175" spans="4:4" customFormat="1" x14ac:dyDescent="0.2">
      <c r="D175" s="34"/>
    </row>
    <row r="176" spans="4:4" customFormat="1" x14ac:dyDescent="0.2">
      <c r="D176" s="34"/>
    </row>
    <row r="177" spans="4:4" customFormat="1" x14ac:dyDescent="0.2">
      <c r="D177" s="34"/>
    </row>
    <row r="178" spans="4:4" customFormat="1" x14ac:dyDescent="0.2">
      <c r="D178" s="34"/>
    </row>
    <row r="179" spans="4:4" customFormat="1" x14ac:dyDescent="0.2">
      <c r="D179" s="34"/>
    </row>
    <row r="180" spans="4:4" customFormat="1" x14ac:dyDescent="0.2">
      <c r="D180" s="34"/>
    </row>
    <row r="181" spans="4:4" customFormat="1" x14ac:dyDescent="0.2">
      <c r="D181" s="34"/>
    </row>
    <row r="182" spans="4:4" customFormat="1" x14ac:dyDescent="0.2">
      <c r="D182" s="34"/>
    </row>
    <row r="183" spans="4:4" customFormat="1" x14ac:dyDescent="0.2">
      <c r="D183" s="34"/>
    </row>
    <row r="184" spans="4:4" customFormat="1" x14ac:dyDescent="0.2">
      <c r="D184" s="34"/>
    </row>
    <row r="185" spans="4:4" customFormat="1" x14ac:dyDescent="0.2">
      <c r="D185" s="34"/>
    </row>
    <row r="186" spans="4:4" customFormat="1" x14ac:dyDescent="0.2">
      <c r="D186" s="34"/>
    </row>
    <row r="187" spans="4:4" customFormat="1" x14ac:dyDescent="0.2">
      <c r="D187" s="34"/>
    </row>
    <row r="188" spans="4:4" customFormat="1" x14ac:dyDescent="0.2">
      <c r="D188" s="34"/>
    </row>
    <row r="189" spans="4:4" customFormat="1" x14ac:dyDescent="0.2">
      <c r="D189" s="34"/>
    </row>
    <row r="190" spans="4:4" customFormat="1" x14ac:dyDescent="0.2">
      <c r="D190" s="34"/>
    </row>
    <row r="191" spans="4:4" customFormat="1" x14ac:dyDescent="0.2">
      <c r="D191" s="34"/>
    </row>
    <row r="192" spans="4:4" customFormat="1" x14ac:dyDescent="0.2">
      <c r="D192" s="34"/>
    </row>
    <row r="193" spans="4:4" customFormat="1" x14ac:dyDescent="0.2">
      <c r="D193" s="34"/>
    </row>
    <row r="194" spans="4:4" customFormat="1" x14ac:dyDescent="0.2">
      <c r="D194" s="34"/>
    </row>
    <row r="195" spans="4:4" customFormat="1" x14ac:dyDescent="0.2">
      <c r="D195" s="34"/>
    </row>
    <row r="196" spans="4:4" customFormat="1" x14ac:dyDescent="0.2">
      <c r="D196" s="34"/>
    </row>
    <row r="197" spans="4:4" customFormat="1" x14ac:dyDescent="0.2">
      <c r="D197" s="34"/>
    </row>
    <row r="198" spans="4:4" customFormat="1" x14ac:dyDescent="0.2">
      <c r="D198" s="34"/>
    </row>
    <row r="199" spans="4:4" customFormat="1" x14ac:dyDescent="0.2">
      <c r="D199" s="34"/>
    </row>
    <row r="200" spans="4:4" customFormat="1" x14ac:dyDescent="0.2">
      <c r="D200" s="34"/>
    </row>
    <row r="201" spans="4:4" customFormat="1" x14ac:dyDescent="0.2">
      <c r="D201" s="34"/>
    </row>
    <row r="202" spans="4:4" customFormat="1" x14ac:dyDescent="0.2">
      <c r="D202" s="34"/>
    </row>
    <row r="203" spans="4:4" customFormat="1" x14ac:dyDescent="0.2">
      <c r="D203" s="34"/>
    </row>
    <row r="204" spans="4:4" customFormat="1" x14ac:dyDescent="0.2">
      <c r="D204" s="34"/>
    </row>
    <row r="205" spans="4:4" customFormat="1" x14ac:dyDescent="0.2">
      <c r="D205" s="34"/>
    </row>
    <row r="206" spans="4:4" customFormat="1" x14ac:dyDescent="0.2">
      <c r="D206" s="34"/>
    </row>
    <row r="207" spans="4:4" customFormat="1" x14ac:dyDescent="0.2">
      <c r="D207" s="34"/>
    </row>
    <row r="208" spans="4:4" customFormat="1" x14ac:dyDescent="0.2">
      <c r="D208" s="34"/>
    </row>
    <row r="209" spans="1:5" x14ac:dyDescent="0.2">
      <c r="A209"/>
      <c r="B209"/>
      <c r="C209"/>
      <c r="E209"/>
    </row>
    <row r="210" spans="1:5" x14ac:dyDescent="0.2">
      <c r="A210"/>
      <c r="B210"/>
      <c r="C210"/>
      <c r="E210"/>
    </row>
    <row r="211" spans="1:5" x14ac:dyDescent="0.2">
      <c r="A211"/>
      <c r="B211"/>
      <c r="C211"/>
      <c r="E211"/>
    </row>
    <row r="212" spans="1:5" x14ac:dyDescent="0.2">
      <c r="A212"/>
      <c r="B212"/>
      <c r="C212"/>
      <c r="E212"/>
    </row>
    <row r="213" spans="1:5" x14ac:dyDescent="0.2"/>
    <row r="214" spans="1:5" x14ac:dyDescent="0.2"/>
    <row r="215" spans="1:5" x14ac:dyDescent="0.2"/>
    <row r="216" spans="1:5" x14ac:dyDescent="0.2"/>
    <row r="217" spans="1:5" x14ac:dyDescent="0.2"/>
    <row r="218" spans="1:5" x14ac:dyDescent="0.2"/>
    <row r="219" spans="1:5" x14ac:dyDescent="0.2"/>
    <row r="220" spans="1:5" x14ac:dyDescent="0.2"/>
    <row r="221" spans="1:5" x14ac:dyDescent="0.2"/>
    <row r="222" spans="1:5" x14ac:dyDescent="0.2"/>
    <row r="223" spans="1:5" x14ac:dyDescent="0.2"/>
    <row r="224" spans="1:5" x14ac:dyDescent="0.2"/>
  </sheetData>
  <autoFilter ref="B9:K117"/>
  <sortState ref="B11:K117">
    <sortCondition ref="C11:C117"/>
    <sortCondition ref="E11:E117"/>
    <sortCondition ref="B11:B117"/>
  </sortState>
  <mergeCells count="1">
    <mergeCell ref="B2:K7"/>
  </mergeCells>
  <conditionalFormatting sqref="A1:A7">
    <cfRule type="duplicateValues" dxfId="27" priority="1"/>
  </conditionalFormatting>
  <conditionalFormatting sqref="A213:A1048576 A8:A99">
    <cfRule type="duplicateValues" dxfId="26" priority="15"/>
  </conditionalFormatting>
  <conditionalFormatting sqref="B9:B23 B26:B117">
    <cfRule type="duplicateValues" dxfId="25" priority="38"/>
  </conditionalFormatting>
  <conditionalFormatting sqref="B9:B117">
    <cfRule type="duplicateValues" dxfId="24" priority="241"/>
  </conditionalFormatting>
  <conditionalFormatting sqref="B24:B25">
    <cfRule type="duplicateValues" dxfId="23" priority="3"/>
  </conditionalFormatting>
  <conditionalFormatting sqref="C8:C10">
    <cfRule type="duplicateValues" dxfId="22" priority="5"/>
  </conditionalFormatting>
  <conditionalFormatting sqref="C9:C10">
    <cfRule type="duplicateValues" dxfId="21" priority="7"/>
  </conditionalFormatting>
  <printOptions horizontalCentered="1"/>
  <pageMargins left="0.25" right="0.25" top="0.75" bottom="0.75" header="0.3" footer="0.3"/>
  <pageSetup paperSize="9" scale="48" orientation="landscape" verticalDpi="4294967293" r:id="rId1"/>
  <rowBreaks count="2" manualBreakCount="2">
    <brk id="48" min="1" max="10" man="1"/>
    <brk id="117" min="1"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0"/>
  <sheetViews>
    <sheetView showZeros="0" zoomScaleNormal="100" workbookViewId="0">
      <pane ySplit="10" topLeftCell="A77" activePane="bottomLeft" state="frozen"/>
      <selection pane="bottomLeft" activeCell="C81" sqref="C81:H82"/>
    </sheetView>
  </sheetViews>
  <sheetFormatPr defaultColWidth="0" defaultRowHeight="0" customHeight="1" zeroHeight="1" x14ac:dyDescent="0.2"/>
  <cols>
    <col min="1" max="1" width="2.7109375" style="6" customWidth="1"/>
    <col min="2" max="2" width="40" style="8" customWidth="1"/>
    <col min="3" max="3" width="14.7109375" style="5" bestFit="1" customWidth="1"/>
    <col min="4" max="4" width="42.85546875" style="34" bestFit="1" customWidth="1"/>
    <col min="5" max="5" width="11.28515625" style="11" bestFit="1" customWidth="1"/>
    <col min="6" max="6" width="18" customWidth="1"/>
    <col min="7" max="8" width="16.5703125" customWidth="1"/>
    <col min="9" max="9" width="12.85546875" customWidth="1"/>
    <col min="10" max="22" width="0" hidden="1" customWidth="1"/>
    <col min="23" max="16384" width="9.140625" hidden="1"/>
  </cols>
  <sheetData>
    <row r="1" spans="1:10" ht="9" customHeight="1" thickBot="1" x14ac:dyDescent="0.3">
      <c r="B1" s="1"/>
      <c r="C1" s="4"/>
      <c r="D1" s="29"/>
      <c r="E1" s="2"/>
      <c r="F1" s="2"/>
      <c r="G1" s="2"/>
      <c r="H1" s="2"/>
      <c r="I1" s="3"/>
    </row>
    <row r="2" spans="1:10" ht="15.75" customHeight="1" x14ac:dyDescent="0.2">
      <c r="B2" s="95" t="s">
        <v>118</v>
      </c>
      <c r="C2" s="96"/>
      <c r="D2" s="96"/>
      <c r="E2" s="96"/>
      <c r="F2" s="96"/>
      <c r="G2" s="96"/>
      <c r="H2" s="97"/>
      <c r="I2" s="3"/>
    </row>
    <row r="3" spans="1:10" ht="15.75" customHeight="1" x14ac:dyDescent="0.2">
      <c r="B3" s="98"/>
      <c r="C3" s="99"/>
      <c r="D3" s="99"/>
      <c r="E3" s="99"/>
      <c r="F3" s="99"/>
      <c r="G3" s="99"/>
      <c r="H3" s="100"/>
      <c r="I3" s="3"/>
    </row>
    <row r="4" spans="1:10" ht="15.75" customHeight="1" x14ac:dyDescent="0.2">
      <c r="B4" s="98"/>
      <c r="C4" s="99"/>
      <c r="D4" s="99"/>
      <c r="E4" s="99"/>
      <c r="F4" s="99"/>
      <c r="G4" s="99"/>
      <c r="H4" s="100"/>
      <c r="I4" s="3"/>
    </row>
    <row r="5" spans="1:10" ht="15.75" customHeight="1" x14ac:dyDescent="0.2">
      <c r="B5" s="98"/>
      <c r="C5" s="99"/>
      <c r="D5" s="99"/>
      <c r="E5" s="99"/>
      <c r="F5" s="99"/>
      <c r="G5" s="99"/>
      <c r="H5" s="100"/>
      <c r="I5" s="3"/>
    </row>
    <row r="6" spans="1:10" ht="15.75" customHeight="1" x14ac:dyDescent="0.2">
      <c r="B6" s="98"/>
      <c r="C6" s="99"/>
      <c r="D6" s="99"/>
      <c r="E6" s="99"/>
      <c r="F6" s="99"/>
      <c r="G6" s="99"/>
      <c r="H6" s="100"/>
      <c r="I6" s="3"/>
    </row>
    <row r="7" spans="1:10" ht="15.75" customHeight="1" x14ac:dyDescent="0.2">
      <c r="B7" s="98"/>
      <c r="C7" s="99"/>
      <c r="D7" s="99"/>
      <c r="E7" s="99"/>
      <c r="F7" s="99"/>
      <c r="G7" s="99"/>
      <c r="H7" s="100"/>
      <c r="I7" s="3"/>
    </row>
    <row r="8" spans="1:10" ht="15" x14ac:dyDescent="0.25">
      <c r="B8" s="21"/>
      <c r="C8" s="22" t="str">
        <f>+'CSM  PRICE LIST 26.1.3'!B1</f>
        <v>v.26.1.3</v>
      </c>
      <c r="D8" s="30" t="str">
        <f>+'CSM  PRICE LIST 26.1.3'!C1</f>
        <v>Valid Through:    01.01.26 - 31.06.26</v>
      </c>
      <c r="E8" s="23">
        <v>4</v>
      </c>
      <c r="F8" s="23">
        <v>5</v>
      </c>
      <c r="G8" s="23">
        <v>6</v>
      </c>
      <c r="H8" s="77">
        <v>7</v>
      </c>
      <c r="I8" s="3"/>
    </row>
    <row r="9" spans="1:10" s="43" customFormat="1" ht="36" x14ac:dyDescent="0.2">
      <c r="A9" s="41"/>
      <c r="B9" s="42" t="s">
        <v>85</v>
      </c>
      <c r="C9" s="31" t="s">
        <v>86</v>
      </c>
      <c r="D9" s="31" t="s">
        <v>59</v>
      </c>
      <c r="E9" s="31" t="s">
        <v>72</v>
      </c>
      <c r="F9" s="26" t="s">
        <v>87</v>
      </c>
      <c r="G9" s="27" t="s">
        <v>61</v>
      </c>
      <c r="H9" s="28" t="s">
        <v>60</v>
      </c>
      <c r="I9" s="3"/>
    </row>
    <row r="10" spans="1:10" s="48" customFormat="1" ht="18" customHeight="1" x14ac:dyDescent="0.2">
      <c r="A10" s="6"/>
      <c r="B10" s="44" t="s">
        <v>115</v>
      </c>
      <c r="C10" s="45" t="s">
        <v>71</v>
      </c>
      <c r="D10" s="45" t="s">
        <v>116</v>
      </c>
      <c r="E10" s="45" t="s">
        <v>101</v>
      </c>
      <c r="F10" s="46" t="s">
        <v>135</v>
      </c>
      <c r="G10" s="82">
        <v>0.2</v>
      </c>
      <c r="H10" s="83">
        <v>0.3</v>
      </c>
      <c r="I10" s="3"/>
    </row>
    <row r="11" spans="1:10" ht="15.75" x14ac:dyDescent="0.2">
      <c r="B11" s="15" t="s">
        <v>27</v>
      </c>
      <c r="C11" s="25" t="str">
        <f>+VLOOKUP($B11,'CSM  PRICE LIST 26.1.3'!$A$2:$E$110,2,FALSE)</f>
        <v>ACCESSORIES</v>
      </c>
      <c r="D11" s="32" t="str">
        <f>+VLOOKUP($B11,'CSM  PRICE LIST 26.1.3'!$A$2:$E$110,3,FALSE)</f>
        <v>ANAHTARLIK</v>
      </c>
      <c r="E11" s="16">
        <f>+VLOOKUP($B11,'MASTER PRICE LIST'!$B$9:$K$119,4,FALSE)</f>
        <v>12.9</v>
      </c>
      <c r="F11" s="9">
        <f>+VLOOKUP($B11,'MASTER PRICE LIST'!$B$9:$K$119,5,FALSE)</f>
        <v>700</v>
      </c>
      <c r="G11" s="9">
        <f>+VLOOKUP($B11,'MASTER PRICE LIST'!$B$9:$K$119,6,FALSE)</f>
        <v>500</v>
      </c>
      <c r="H11" s="10">
        <f>+VLOOKUP($B11,'MASTER PRICE LIST'!$B$9:$K$119,7,FALSE)</f>
        <v>400</v>
      </c>
      <c r="I11" s="3"/>
    </row>
    <row r="12" spans="1:10" ht="18.75" customHeight="1" x14ac:dyDescent="0.2">
      <c r="B12" s="15" t="s">
        <v>16</v>
      </c>
      <c r="C12" s="25" t="str">
        <f>+VLOOKUP($B12,'CSM  PRICE LIST 26.1.3'!$A$2:$E$110,2,FALSE)</f>
        <v>ACCESSORIES</v>
      </c>
      <c r="D12" s="32" t="str">
        <f>+VLOOKUP($B12,'CSM  PRICE LIST 26.1.3'!$A$2:$E$110,3,FALSE)</f>
        <v>İSİM KÜNYESİ</v>
      </c>
      <c r="E12" s="16">
        <f>+VLOOKUP($B12,'MASTER PRICE LIST'!$B$9:$K$119,4,FALSE)</f>
        <v>12.9</v>
      </c>
      <c r="F12" s="9">
        <f>+VLOOKUP($B12,'MASTER PRICE LIST'!$B$9:$K$119,5,FALSE)</f>
        <v>700</v>
      </c>
      <c r="G12" s="9">
        <f>+VLOOKUP($B12,'MASTER PRICE LIST'!$B$9:$K$119,6,FALSE)</f>
        <v>500</v>
      </c>
      <c r="H12" s="10">
        <f>+VLOOKUP($B12,'MASTER PRICE LIST'!$B$9:$K$119,7,FALSE)</f>
        <v>400</v>
      </c>
      <c r="I12" s="3"/>
      <c r="J12" s="7"/>
    </row>
    <row r="13" spans="1:10" ht="18.75" customHeight="1" x14ac:dyDescent="0.2">
      <c r="B13" s="15" t="s">
        <v>146</v>
      </c>
      <c r="C13" s="25" t="str">
        <f>+VLOOKUP($B13,'CSM  PRICE LIST 26.1.3'!$A$2:$E$110,2,FALSE)</f>
        <v>ACCESSORIES</v>
      </c>
      <c r="D13" s="32" t="str">
        <f>+VLOOKUP($B13,'CSM  PRICE LIST 26.1.3'!$A$2:$E$110,3,FALSE)</f>
        <v>BANDANA</v>
      </c>
      <c r="E13" s="16">
        <f>+VLOOKUP($B13,'MASTER PRICE LIST'!$B$9:$K$119,4,FALSE)</f>
        <v>12.9</v>
      </c>
      <c r="F13" s="9">
        <f>+VLOOKUP($B13,'MASTER PRICE LIST'!$B$9:$K$119,5,FALSE)</f>
        <v>700</v>
      </c>
      <c r="G13" s="9">
        <f>+VLOOKUP($B13,'MASTER PRICE LIST'!$B$9:$K$119,6,FALSE)</f>
        <v>500</v>
      </c>
      <c r="H13" s="10">
        <f>+VLOOKUP($B13,'MASTER PRICE LIST'!$B$9:$K$119,7,FALSE)</f>
        <v>400</v>
      </c>
      <c r="I13" s="3"/>
      <c r="J13" s="7"/>
    </row>
    <row r="14" spans="1:10" ht="18.75" customHeight="1" x14ac:dyDescent="0.2">
      <c r="B14" s="15" t="s">
        <v>20</v>
      </c>
      <c r="C14" s="25" t="str">
        <f>+VLOOKUP($B14,'CSM  PRICE LIST 26.1.3'!$A$2:$E$110,2,FALSE)</f>
        <v>ACCESSORIES</v>
      </c>
      <c r="D14" s="32" t="str">
        <f>+VLOOKUP($B14,'CSM  PRICE LIST 26.1.3'!$A$2:$E$110,3,FALSE)</f>
        <v>KEP ŞAPKA</v>
      </c>
      <c r="E14" s="16">
        <f>+VLOOKUP($B14,'MASTER PRICE LIST'!$B$9:$K$119,4,FALSE)</f>
        <v>29.9</v>
      </c>
      <c r="F14" s="9">
        <f>+VLOOKUP($B14,'MASTER PRICE LIST'!$B$9:$K$119,5,FALSE)</f>
        <v>1640</v>
      </c>
      <c r="G14" s="9">
        <f>+VLOOKUP($B14,'MASTER PRICE LIST'!$B$9:$K$119,6,FALSE)</f>
        <v>1300</v>
      </c>
      <c r="H14" s="10">
        <f>+VLOOKUP($B14,'MASTER PRICE LIST'!$B$9:$K$119,7,FALSE)</f>
        <v>1100</v>
      </c>
      <c r="I14" s="3"/>
      <c r="J14" s="7"/>
    </row>
    <row r="15" spans="1:10" ht="18.75" customHeight="1" x14ac:dyDescent="0.2">
      <c r="B15" s="15" t="s">
        <v>18</v>
      </c>
      <c r="C15" s="25" t="str">
        <f>+VLOOKUP($B15,'CSM  PRICE LIST 26.1.3'!$A$2:$E$110,2,FALSE)</f>
        <v>ACCESSORIES</v>
      </c>
      <c r="D15" s="32" t="str">
        <f>+VLOOKUP($B15,'CSM  PRICE LIST 26.1.3'!$A$2:$E$110,3,FALSE)</f>
        <v>BERE ŞAPKA</v>
      </c>
      <c r="E15" s="16">
        <f>+VLOOKUP($B15,'MASTER PRICE LIST'!$B$9:$K$119,4,FALSE)</f>
        <v>29.9</v>
      </c>
      <c r="F15" s="9">
        <f>+VLOOKUP($B15,'MASTER PRICE LIST'!$B$9:$K$119,5,FALSE)</f>
        <v>1640</v>
      </c>
      <c r="G15" s="9">
        <f>+VLOOKUP($B15,'MASTER PRICE LIST'!$B$9:$K$119,6,FALSE)</f>
        <v>1300</v>
      </c>
      <c r="H15" s="10">
        <f>+VLOOKUP($B15,'MASTER PRICE LIST'!$B$9:$K$119,7,FALSE)</f>
        <v>1100</v>
      </c>
      <c r="I15" s="3"/>
      <c r="J15" s="7"/>
    </row>
    <row r="16" spans="1:10" ht="18.75" customHeight="1" x14ac:dyDescent="0.2">
      <c r="B16" s="15" t="s">
        <v>21</v>
      </c>
      <c r="C16" s="25" t="str">
        <f>+VLOOKUP($B16,'CSM  PRICE LIST 26.1.3'!$A$2:$E$110,2,FALSE)</f>
        <v>ACCESSORIES</v>
      </c>
      <c r="D16" s="32" t="str">
        <f>+VLOOKUP($B16,'CSM  PRICE LIST 26.1.3'!$A$2:$E$110,3,FALSE)</f>
        <v>YAZLIK BİNİCİ ÇORABI
3'LÜ PAKET</v>
      </c>
      <c r="E16" s="16">
        <f>+VLOOKUP($B16,'MASTER PRICE LIST'!$B$9:$K$119,4,FALSE)</f>
        <v>34.9</v>
      </c>
      <c r="F16" s="9">
        <f>+VLOOKUP($B16,'MASTER PRICE LIST'!$B$9:$K$119,5,FALSE)</f>
        <v>1910</v>
      </c>
      <c r="G16" s="9">
        <f>+VLOOKUP($B16,'MASTER PRICE LIST'!$B$9:$K$119,6,FALSE)</f>
        <v>1500</v>
      </c>
      <c r="H16" s="10">
        <f>+VLOOKUP($B16,'MASTER PRICE LIST'!$B$9:$K$119,7,FALSE)</f>
        <v>1300</v>
      </c>
      <c r="I16" s="3"/>
      <c r="J16" s="7"/>
    </row>
    <row r="17" spans="2:10" ht="18.75" customHeight="1" x14ac:dyDescent="0.2">
      <c r="B17" s="15" t="s">
        <v>22</v>
      </c>
      <c r="C17" s="25" t="str">
        <f>+VLOOKUP($B17,'CSM  PRICE LIST 26.1.3'!$A$2:$E$110,2,FALSE)</f>
        <v>ACCESSORIES</v>
      </c>
      <c r="D17" s="32" t="str">
        <f>+VLOOKUP($B17,'CSM  PRICE LIST 26.1.3'!$A$2:$E$110,3,FALSE)</f>
        <v>GEO 4 MEVSİM BİNİCİ ÇORABI
3'LÜ PAKET</v>
      </c>
      <c r="E17" s="16">
        <f>+VLOOKUP($B17,'MASTER PRICE LIST'!$B$9:$K$119,4,FALSE)</f>
        <v>34.9</v>
      </c>
      <c r="F17" s="9">
        <f>+VLOOKUP($B17,'MASTER PRICE LIST'!$B$9:$K$119,5,FALSE)</f>
        <v>1910</v>
      </c>
      <c r="G17" s="9">
        <f>+VLOOKUP($B17,'MASTER PRICE LIST'!$B$9:$K$119,6,FALSE)</f>
        <v>1500</v>
      </c>
      <c r="H17" s="10">
        <f>+VLOOKUP($B17,'MASTER PRICE LIST'!$B$9:$K$119,7,FALSE)</f>
        <v>1300</v>
      </c>
      <c r="I17" s="3"/>
      <c r="J17" s="7"/>
    </row>
    <row r="18" spans="2:10" ht="18.75" customHeight="1" x14ac:dyDescent="0.2">
      <c r="B18" s="15" t="s">
        <v>25</v>
      </c>
      <c r="C18" s="25" t="str">
        <f>+VLOOKUP($B18,'CSM  PRICE LIST 26.1.3'!$A$2:$E$110,2,FALSE)</f>
        <v>ACCESSORIES</v>
      </c>
      <c r="D18" s="32" t="str">
        <f>+VLOOKUP($B18,'CSM  PRICE LIST 26.1.3'!$A$2:$E$110,3,FALSE)</f>
        <v>ÇOCUK BİNİCİ ÇORABI
3'LÜ PAKET</v>
      </c>
      <c r="E18" s="16">
        <f>+VLOOKUP($B18,'MASTER PRICE LIST'!$B$9:$K$119,4,FALSE)</f>
        <v>34.9</v>
      </c>
      <c r="F18" s="9">
        <f>+VLOOKUP($B18,'MASTER PRICE LIST'!$B$9:$K$119,5,FALSE)</f>
        <v>1910</v>
      </c>
      <c r="G18" s="9">
        <f>+VLOOKUP($B18,'MASTER PRICE LIST'!$B$9:$K$119,6,FALSE)</f>
        <v>1500</v>
      </c>
      <c r="H18" s="10">
        <f>+VLOOKUP($B18,'MASTER PRICE LIST'!$B$9:$K$119,7,FALSE)</f>
        <v>1300</v>
      </c>
      <c r="I18" s="3"/>
      <c r="J18" s="7"/>
    </row>
    <row r="19" spans="2:10" ht="18.75" customHeight="1" x14ac:dyDescent="0.2">
      <c r="B19" s="15" t="s">
        <v>26</v>
      </c>
      <c r="C19" s="25" t="str">
        <f>+VLOOKUP($B19,'CSM  PRICE LIST 26.1.3'!$A$2:$E$110,2,FALSE)</f>
        <v>ACCESSORIES</v>
      </c>
      <c r="D19" s="32" t="str">
        <f>+VLOOKUP($B19,'CSM  PRICE LIST 26.1.3'!$A$2:$E$110,3,FALSE)</f>
        <v>YARIŞMA KRAVATI</v>
      </c>
      <c r="E19" s="16">
        <f>+VLOOKUP($B19,'MASTER PRICE LIST'!$B$9:$K$119,4,FALSE)</f>
        <v>39.9</v>
      </c>
      <c r="F19" s="9">
        <f>+VLOOKUP($B19,'MASTER PRICE LIST'!$B$9:$K$119,5,FALSE)</f>
        <v>2190</v>
      </c>
      <c r="G19" s="9">
        <f>+VLOOKUP($B19,'MASTER PRICE LIST'!$B$9:$K$119,6,FALSE)</f>
        <v>1700</v>
      </c>
      <c r="H19" s="10">
        <f>+VLOOKUP($B19,'MASTER PRICE LIST'!$B$9:$K$119,7,FALSE)</f>
        <v>1500</v>
      </c>
      <c r="I19" s="3"/>
      <c r="J19" s="7"/>
    </row>
    <row r="20" spans="2:10" ht="18.75" customHeight="1" x14ac:dyDescent="0.2">
      <c r="B20" s="15" t="s">
        <v>147</v>
      </c>
      <c r="C20" s="25" t="str">
        <f>+VLOOKUP($B20,'CSM  PRICE LIST 26.1.3'!$A$2:$E$110,2,FALSE)</f>
        <v>ACCESSORIES</v>
      </c>
      <c r="D20" s="32" t="str">
        <f>+VLOOKUP($B20,'CSM  PRICE LIST 26.1.3'!$A$2:$E$110,3,FALSE)</f>
        <v>4 MEVSİM BİNİCİ ÇORABI
3'LÜ PAKET</v>
      </c>
      <c r="E20" s="16">
        <f>+VLOOKUP($B20,'MASTER PRICE LIST'!$B$9:$K$119,4,FALSE)</f>
        <v>39.9</v>
      </c>
      <c r="F20" s="9">
        <f>+VLOOKUP($B20,'MASTER PRICE LIST'!$B$9:$K$119,5,FALSE)</f>
        <v>2190</v>
      </c>
      <c r="G20" s="9">
        <f>+VLOOKUP($B20,'MASTER PRICE LIST'!$B$9:$K$119,6,FALSE)</f>
        <v>1700</v>
      </c>
      <c r="H20" s="10">
        <f>+VLOOKUP($B20,'MASTER PRICE LIST'!$B$9:$K$119,7,FALSE)</f>
        <v>1500</v>
      </c>
      <c r="I20" s="3"/>
      <c r="J20" s="7"/>
    </row>
    <row r="21" spans="2:10" ht="18.75" customHeight="1" x14ac:dyDescent="0.2">
      <c r="B21" s="15" t="s">
        <v>75</v>
      </c>
      <c r="C21" s="25" t="str">
        <f>+VLOOKUP($B21,'CSM  PRICE LIST 26.1.3'!$A$2:$E$110,2,FALSE)</f>
        <v>ACCESSORIES</v>
      </c>
      <c r="D21" s="32" t="str">
        <f>+VLOOKUP($B21,'CSM  PRICE LIST 26.1.3'!$A$2:$E$110,3,FALSE)</f>
        <v>ÖRME YARIŞMA KRAVATI</v>
      </c>
      <c r="E21" s="16">
        <f>+VLOOKUP($B21,'MASTER PRICE LIST'!$B$9:$K$119,4,FALSE)</f>
        <v>39.9</v>
      </c>
      <c r="F21" s="9">
        <f>+VLOOKUP($B21,'MASTER PRICE LIST'!$B$9:$K$119,5,FALSE)</f>
        <v>2190</v>
      </c>
      <c r="G21" s="9">
        <f>+VLOOKUP($B21,'MASTER PRICE LIST'!$B$9:$K$119,6,FALSE)</f>
        <v>1700</v>
      </c>
      <c r="H21" s="10">
        <f>+VLOOKUP($B21,'MASTER PRICE LIST'!$B$9:$K$119,7,FALSE)</f>
        <v>1500</v>
      </c>
      <c r="I21" s="3"/>
      <c r="J21" s="7"/>
    </row>
    <row r="22" spans="2:10" ht="18.75" customHeight="1" x14ac:dyDescent="0.2">
      <c r="B22" s="15" t="s">
        <v>23</v>
      </c>
      <c r="C22" s="25" t="str">
        <f>+VLOOKUP($B22,'CSM  PRICE LIST 26.1.3'!$A$2:$E$110,2,FALSE)</f>
        <v>ACCESSORIES</v>
      </c>
      <c r="D22" s="32" t="str">
        <f>+VLOOKUP($B22,'CSM  PRICE LIST 26.1.3'!$A$2:$E$110,3,FALSE)</f>
        <v>4 MEVSİM BİNİCİ ÇORABI
3'LÜ PAKET</v>
      </c>
      <c r="E22" s="16">
        <f>+VLOOKUP($B22,'MASTER PRICE LIST'!$B$9:$K$119,4,FALSE)</f>
        <v>39.9</v>
      </c>
      <c r="F22" s="9">
        <f>+VLOOKUP($B22,'MASTER PRICE LIST'!$B$9:$K$119,5,FALSE)</f>
        <v>2190</v>
      </c>
      <c r="G22" s="9">
        <f>+VLOOKUP($B22,'MASTER PRICE LIST'!$B$9:$K$119,6,FALSE)</f>
        <v>1700</v>
      </c>
      <c r="H22" s="10">
        <f>+VLOOKUP($B22,'MASTER PRICE LIST'!$B$9:$K$119,7,FALSE)</f>
        <v>1500</v>
      </c>
      <c r="I22" s="3"/>
      <c r="J22" s="7"/>
    </row>
    <row r="23" spans="2:10" ht="18.75" customHeight="1" x14ac:dyDescent="0.2">
      <c r="B23" s="15" t="s">
        <v>24</v>
      </c>
      <c r="C23" s="25" t="str">
        <f>+VLOOKUP($B23,'CSM  PRICE LIST 26.1.3'!$A$2:$E$110,2,FALSE)</f>
        <v>ACCESSORIES</v>
      </c>
      <c r="D23" s="32" t="str">
        <f>+VLOOKUP($B23,'CSM  PRICE LIST 26.1.3'!$A$2:$E$110,3,FALSE)</f>
        <v>KIŞLIK BİNİCİ ÇORABI
2'Lİ PAKET</v>
      </c>
      <c r="E23" s="16">
        <f>+VLOOKUP($B23,'MASTER PRICE LIST'!$B$9:$K$119,4,FALSE)</f>
        <v>39.9</v>
      </c>
      <c r="F23" s="9">
        <f>+VLOOKUP($B23,'MASTER PRICE LIST'!$B$9:$K$119,5,FALSE)</f>
        <v>2190</v>
      </c>
      <c r="G23" s="9">
        <f>+VLOOKUP($B23,'MASTER PRICE LIST'!$B$9:$K$119,6,FALSE)</f>
        <v>1700</v>
      </c>
      <c r="H23" s="10">
        <f>+VLOOKUP($B23,'MASTER PRICE LIST'!$B$9:$K$119,7,FALSE)</f>
        <v>1500</v>
      </c>
      <c r="I23" s="3"/>
      <c r="J23" s="7"/>
    </row>
    <row r="24" spans="2:10" ht="18.75" customHeight="1" x14ac:dyDescent="0.2">
      <c r="B24" s="15" t="s">
        <v>29</v>
      </c>
      <c r="C24" s="25" t="str">
        <f>+VLOOKUP($B24,'CSM  PRICE LIST 26.1.3'!$A$2:$E$110,2,FALSE)</f>
        <v>ACCESSORIES</v>
      </c>
      <c r="D24" s="32" t="str">
        <f>+VLOOKUP($B24,'CSM  PRICE LIST 26.1.3'!$A$2:$E$110,3,FALSE)</f>
        <v>BOX PERDESİ</v>
      </c>
      <c r="E24" s="16">
        <f>+VLOOKUP($B24,'MASTER PRICE LIST'!$B$9:$K$119,4,FALSE)</f>
        <v>49.9</v>
      </c>
      <c r="F24" s="9">
        <f>+VLOOKUP($B24,'MASTER PRICE LIST'!$B$9:$K$119,5,FALSE)</f>
        <v>2740</v>
      </c>
      <c r="G24" s="9">
        <f>+VLOOKUP($B24,'MASTER PRICE LIST'!$B$9:$K$119,6,FALSE)</f>
        <v>2100</v>
      </c>
      <c r="H24" s="10">
        <f>+VLOOKUP($B24,'MASTER PRICE LIST'!$B$9:$K$119,7,FALSE)</f>
        <v>1900</v>
      </c>
      <c r="I24" s="3"/>
      <c r="J24" s="7"/>
    </row>
    <row r="25" spans="2:10" ht="18.75" customHeight="1" x14ac:dyDescent="0.2">
      <c r="B25" s="15" t="s">
        <v>106</v>
      </c>
      <c r="C25" s="25" t="str">
        <f>+VLOOKUP($B25,'CSM  PRICE LIST 26.1.3'!$A$2:$E$110,2,FALSE)</f>
        <v>ACCESSORIES</v>
      </c>
      <c r="D25" s="32" t="str">
        <f>+VLOOKUP($B25,'CSM  PRICE LIST 26.1.3'!$A$2:$E$110,3,FALSE)</f>
        <v>ÖRGÜ KEMER</v>
      </c>
      <c r="E25" s="16">
        <f>+VLOOKUP($B25,'MASTER PRICE LIST'!$B$9:$K$119,4,FALSE)</f>
        <v>49.9</v>
      </c>
      <c r="F25" s="9">
        <f>+VLOOKUP($B25,'MASTER PRICE LIST'!$B$9:$K$119,5,FALSE)</f>
        <v>2740</v>
      </c>
      <c r="G25" s="9">
        <f>+VLOOKUP($B25,'MASTER PRICE LIST'!$B$9:$K$119,6,FALSE)</f>
        <v>2100</v>
      </c>
      <c r="H25" s="10">
        <f>+VLOOKUP($B25,'MASTER PRICE LIST'!$B$9:$K$119,7,FALSE)</f>
        <v>1900</v>
      </c>
      <c r="I25" s="3"/>
      <c r="J25" s="7"/>
    </row>
    <row r="26" spans="2:10" ht="18.75" customHeight="1" x14ac:dyDescent="0.2">
      <c r="B26" s="15" t="s">
        <v>19</v>
      </c>
      <c r="C26" s="25" t="str">
        <f>+VLOOKUP($B26,'CSM  PRICE LIST 26.1.3'!$A$2:$E$110,2,FALSE)</f>
        <v>ACCESSORIES</v>
      </c>
      <c r="D26" s="32" t="str">
        <f>+VLOOKUP($B26,'CSM  PRICE LIST 26.1.3'!$A$2:$E$110,3,FALSE)</f>
        <v>ÖRGÜ KEMER</v>
      </c>
      <c r="E26" s="16">
        <f>+VLOOKUP($B26,'MASTER PRICE LIST'!$B$9:$K$119,4,FALSE)</f>
        <v>49.9</v>
      </c>
      <c r="F26" s="9">
        <f>+VLOOKUP($B26,'MASTER PRICE LIST'!$B$9:$K$119,5,FALSE)</f>
        <v>2740</v>
      </c>
      <c r="G26" s="9">
        <f>+VLOOKUP($B26,'MASTER PRICE LIST'!$B$9:$K$119,6,FALSE)</f>
        <v>2100</v>
      </c>
      <c r="H26" s="10">
        <f>+VLOOKUP($B26,'MASTER PRICE LIST'!$B$9:$K$119,7,FALSE)</f>
        <v>1900</v>
      </c>
      <c r="I26" s="3"/>
      <c r="J26" s="7"/>
    </row>
    <row r="27" spans="2:10" ht="18.75" customHeight="1" x14ac:dyDescent="0.2">
      <c r="B27" s="15" t="s">
        <v>137</v>
      </c>
      <c r="C27" s="25" t="str">
        <f>+VLOOKUP($B27,'CSM  PRICE LIST 26.1.3'!$A$2:$E$110,2,FALSE)</f>
        <v>ACCESSORIES</v>
      </c>
      <c r="D27" s="32" t="str">
        <f>+VLOOKUP($B27,'CSM  PRICE LIST 26.1.3'!$A$2:$E$110,3,FALSE)</f>
        <v>ÖRGÜ KEMER</v>
      </c>
      <c r="E27" s="16">
        <f>+VLOOKUP($B27,'MASTER PRICE LIST'!$B$9:$K$119,4,FALSE)</f>
        <v>59.9</v>
      </c>
      <c r="F27" s="9">
        <f>+VLOOKUP($B27,'MASTER PRICE LIST'!$B$9:$K$119,5,FALSE)</f>
        <v>3290</v>
      </c>
      <c r="G27" s="9">
        <f>+VLOOKUP($B27,'MASTER PRICE LIST'!$B$9:$K$119,6,FALSE)</f>
        <v>2600</v>
      </c>
      <c r="H27" s="10">
        <f>+VLOOKUP($B27,'MASTER PRICE LIST'!$B$9:$K$119,7,FALSE)</f>
        <v>2300</v>
      </c>
      <c r="I27" s="3"/>
      <c r="J27" s="7"/>
    </row>
    <row r="28" spans="2:10" ht="18.75" customHeight="1" x14ac:dyDescent="0.2">
      <c r="B28" s="15" t="s">
        <v>28</v>
      </c>
      <c r="C28" s="25" t="str">
        <f>+VLOOKUP($B28,'CSM  PRICE LIST 26.1.3'!$A$2:$E$110,2,FALSE)</f>
        <v>ACCESSORIES</v>
      </c>
      <c r="D28" s="32" t="str">
        <f>+VLOOKUP($B28,'CSM  PRICE LIST 26.1.3'!$A$2:$E$110,3,FALSE)</f>
        <v>AHIR PERDESİ</v>
      </c>
      <c r="E28" s="16">
        <f>+VLOOKUP($B28,'MASTER PRICE LIST'!$B$9:$K$119,4,FALSE)</f>
        <v>99.9</v>
      </c>
      <c r="F28" s="9">
        <f>+VLOOKUP($B28,'MASTER PRICE LIST'!$B$9:$K$119,5,FALSE)</f>
        <v>5490</v>
      </c>
      <c r="G28" s="9">
        <f>+VLOOKUP($B28,'MASTER PRICE LIST'!$B$9:$K$119,6,FALSE)</f>
        <v>4300</v>
      </c>
      <c r="H28" s="10">
        <f>+VLOOKUP($B28,'MASTER PRICE LIST'!$B$9:$K$119,7,FALSE)</f>
        <v>3800</v>
      </c>
      <c r="I28" s="3"/>
      <c r="J28" s="7"/>
    </row>
    <row r="29" spans="2:10" ht="18.75" customHeight="1" x14ac:dyDescent="0.2">
      <c r="B29" s="15" t="s">
        <v>15</v>
      </c>
      <c r="C29" s="25" t="str">
        <f>+VLOOKUP($B29,'CSM  PRICE LIST 26.1.3'!$A$2:$E$110,2,FALSE)</f>
        <v>HORSE</v>
      </c>
      <c r="D29" s="32" t="str">
        <f>+VLOOKUP($B29,'CSM  PRICE LIST 26.1.3'!$A$2:$E$110,3,FALSE)</f>
        <v>ÖRME KULAKLIK</v>
      </c>
      <c r="E29" s="16">
        <f>+VLOOKUP($B29,'MASTER PRICE LIST'!$B$9:$K$119,4,FALSE)</f>
        <v>39.9</v>
      </c>
      <c r="F29" s="9">
        <f>+VLOOKUP($B29,'MASTER PRICE LIST'!$B$9:$K$119,5,FALSE)</f>
        <v>2190</v>
      </c>
      <c r="G29" s="9">
        <f>+VLOOKUP($B29,'MASTER PRICE LIST'!$B$9:$K$119,6,FALSE)</f>
        <v>1700</v>
      </c>
      <c r="H29" s="10">
        <f>+VLOOKUP($B29,'MASTER PRICE LIST'!$B$9:$K$119,7,FALSE)</f>
        <v>1500</v>
      </c>
      <c r="I29" s="3"/>
      <c r="J29" s="7"/>
    </row>
    <row r="30" spans="2:10" ht="18.75" customHeight="1" x14ac:dyDescent="0.2">
      <c r="B30" s="15" t="s">
        <v>17</v>
      </c>
      <c r="C30" s="25" t="str">
        <f>+VLOOKUP($B30,'CSM  PRICE LIST 26.1.3'!$A$2:$E$110,2,FALSE)</f>
        <v>HORSE</v>
      </c>
      <c r="D30" s="32" t="str">
        <f>+VLOOKUP($B30,'CSM  PRICE LIST 26.1.3'!$A$2:$E$110,3,FALSE)</f>
        <v>ÖRME PONY KULAKLIK</v>
      </c>
      <c r="E30" s="16">
        <f>+VLOOKUP($B30,'MASTER PRICE LIST'!$B$9:$K$119,4,FALSE)</f>
        <v>39.9</v>
      </c>
      <c r="F30" s="9">
        <f>+VLOOKUP($B30,'MASTER PRICE LIST'!$B$9:$K$119,5,FALSE)</f>
        <v>2190</v>
      </c>
      <c r="G30" s="9">
        <f>+VLOOKUP($B30,'MASTER PRICE LIST'!$B$9:$K$119,6,FALSE)</f>
        <v>1700</v>
      </c>
      <c r="H30" s="10">
        <f>+VLOOKUP($B30,'MASTER PRICE LIST'!$B$9:$K$119,7,FALSE)</f>
        <v>1500</v>
      </c>
      <c r="I30" s="3"/>
      <c r="J30" s="7"/>
    </row>
    <row r="31" spans="2:10" ht="18.75" customHeight="1" x14ac:dyDescent="0.2">
      <c r="B31" s="15" t="s">
        <v>91</v>
      </c>
      <c r="C31" s="25" t="str">
        <f>+VLOOKUP($B31,'CSM  PRICE LIST 26.1.3'!$A$2:$E$110,2,FALSE)</f>
        <v>HORSE</v>
      </c>
      <c r="D31" s="32" t="str">
        <f>+VLOOKUP($B31,'CSM  PRICE LIST 26.1.3'!$A$2:$E$110,3,FALSE)</f>
        <v>TECH SERİSİ KULAKLIK</v>
      </c>
      <c r="E31" s="16">
        <f>+VLOOKUP($B31,'MASTER PRICE LIST'!$B$9:$K$119,4,FALSE)</f>
        <v>49.9</v>
      </c>
      <c r="F31" s="9">
        <f>+VLOOKUP($B31,'MASTER PRICE LIST'!$B$9:$K$119,5,FALSE)</f>
        <v>2740</v>
      </c>
      <c r="G31" s="9">
        <f>+VLOOKUP($B31,'MASTER PRICE LIST'!$B$9:$K$119,6,FALSE)</f>
        <v>2100</v>
      </c>
      <c r="H31" s="10">
        <f>+VLOOKUP($B31,'MASTER PRICE LIST'!$B$9:$K$119,7,FALSE)</f>
        <v>1900</v>
      </c>
      <c r="I31" s="3"/>
      <c r="J31" s="7"/>
    </row>
    <row r="32" spans="2:10" ht="18.75" customHeight="1" x14ac:dyDescent="0.2">
      <c r="B32" s="15" t="s">
        <v>74</v>
      </c>
      <c r="C32" s="25" t="str">
        <f>+VLOOKUP($B32,'CSM  PRICE LIST 26.1.3'!$A$2:$E$110,2,FALSE)</f>
        <v>HORSE</v>
      </c>
      <c r="D32" s="32" t="str">
        <f>+VLOOKUP($B32,'CSM  PRICE LIST 26.1.3'!$A$2:$E$110,3,FALSE)</f>
        <v>TECH SERİSİ PONY KULAKLIK</v>
      </c>
      <c r="E32" s="16">
        <f>+VLOOKUP($B32,'MASTER PRICE LIST'!$B$9:$K$119,4,FALSE)</f>
        <v>49.9</v>
      </c>
      <c r="F32" s="9">
        <f>+VLOOKUP($B32,'MASTER PRICE LIST'!$B$9:$K$119,5,FALSE)</f>
        <v>2740</v>
      </c>
      <c r="G32" s="9">
        <f>+VLOOKUP($B32,'MASTER PRICE LIST'!$B$9:$K$119,6,FALSE)</f>
        <v>2100</v>
      </c>
      <c r="H32" s="10">
        <f>+VLOOKUP($B32,'MASTER PRICE LIST'!$B$9:$K$119,7,FALSE)</f>
        <v>1900</v>
      </c>
      <c r="I32" s="3"/>
      <c r="J32" s="7"/>
    </row>
    <row r="33" spans="2:10" ht="18.75" customHeight="1" x14ac:dyDescent="0.2">
      <c r="B33" s="15" t="s">
        <v>11</v>
      </c>
      <c r="C33" s="25" t="str">
        <f>+VLOOKUP($B33,'CSM  PRICE LIST 26.1.3'!$A$2:$E$110,2,FALSE)</f>
        <v>HORSE</v>
      </c>
      <c r="D33" s="32" t="str">
        <f>+VLOOKUP($B33,'CSM  PRICE LIST 26.1.3'!$A$2:$E$110,3,FALSE)</f>
        <v>POLAR ÇALIŞMA BLANKETİ</v>
      </c>
      <c r="E33" s="16">
        <f>+VLOOKUP($B33,'MASTER PRICE LIST'!$B$9:$K$119,4,FALSE)</f>
        <v>79.900000000000006</v>
      </c>
      <c r="F33" s="9">
        <f>+VLOOKUP($B33,'MASTER PRICE LIST'!$B$9:$K$119,5,FALSE)</f>
        <v>4390</v>
      </c>
      <c r="G33" s="9">
        <f>+VLOOKUP($B33,'MASTER PRICE LIST'!$B$9:$K$119,6,FALSE)</f>
        <v>3500</v>
      </c>
      <c r="H33" s="10">
        <f>+VLOOKUP($B33,'MASTER PRICE LIST'!$B$9:$K$119,7,FALSE)</f>
        <v>3000</v>
      </c>
      <c r="I33" s="3"/>
      <c r="J33" s="7"/>
    </row>
    <row r="34" spans="2:10" ht="18.75" customHeight="1" x14ac:dyDescent="0.2">
      <c r="B34" s="15" t="s">
        <v>93</v>
      </c>
      <c r="C34" s="25" t="str">
        <f>+VLOOKUP($B34,'CSM  PRICE LIST 26.1.3'!$A$2:$E$110,2,FALSE)</f>
        <v>HORSE</v>
      </c>
      <c r="D34" s="32" t="str">
        <f>+VLOOKUP($B34,'CSM  PRICE LIST 26.1.3'!$A$2:$E$110,3,FALSE)</f>
        <v>PONY POLAR ÇALIŞMA BLANKETİ</v>
      </c>
      <c r="E34" s="16">
        <f>+VLOOKUP($B34,'MASTER PRICE LIST'!$B$9:$K$119,4,FALSE)</f>
        <v>79.900000000000006</v>
      </c>
      <c r="F34" s="9">
        <f>+VLOOKUP($B34,'MASTER PRICE LIST'!$B$9:$K$119,5,FALSE)</f>
        <v>4390</v>
      </c>
      <c r="G34" s="9">
        <f>+VLOOKUP($B34,'MASTER PRICE LIST'!$B$9:$K$119,6,FALSE)</f>
        <v>3500</v>
      </c>
      <c r="H34" s="10">
        <f>+VLOOKUP($B34,'MASTER PRICE LIST'!$B$9:$K$119,7,FALSE)</f>
        <v>3000</v>
      </c>
      <c r="I34" s="3"/>
      <c r="J34" s="7"/>
    </row>
    <row r="35" spans="2:10" ht="18.75" customHeight="1" x14ac:dyDescent="0.2">
      <c r="B35" s="15" t="s">
        <v>3</v>
      </c>
      <c r="C35" s="25" t="str">
        <f>+VLOOKUP($B35,'CSM  PRICE LIST 26.1.3'!$A$2:$E$110,2,FALSE)</f>
        <v>HORSE</v>
      </c>
      <c r="D35" s="32" t="str">
        <f>+VLOOKUP($B35,'CSM  PRICE LIST 26.1.3'!$A$2:$E$110,3,FALSE)</f>
        <v>ELMAS DESEN EYER ALTI</v>
      </c>
      <c r="E35" s="16">
        <f>+VLOOKUP($B35,'MASTER PRICE LIST'!$B$9:$K$119,4,FALSE)</f>
        <v>79.900000000000006</v>
      </c>
      <c r="F35" s="9">
        <f>+VLOOKUP($B35,'MASTER PRICE LIST'!$B$9:$K$119,5,FALSE)</f>
        <v>4390</v>
      </c>
      <c r="G35" s="9">
        <f>+VLOOKUP($B35,'MASTER PRICE LIST'!$B$9:$K$119,6,FALSE)</f>
        <v>3500</v>
      </c>
      <c r="H35" s="10">
        <f>+VLOOKUP($B35,'MASTER PRICE LIST'!$B$9:$K$119,7,FALSE)</f>
        <v>3000</v>
      </c>
      <c r="I35" s="3"/>
      <c r="J35" s="7"/>
    </row>
    <row r="36" spans="2:10" ht="18.75" customHeight="1" x14ac:dyDescent="0.2">
      <c r="B36" s="15" t="s">
        <v>5</v>
      </c>
      <c r="C36" s="25" t="str">
        <f>+VLOOKUP($B36,'CSM  PRICE LIST 26.1.3'!$A$2:$E$110,2,FALSE)</f>
        <v>HORSE</v>
      </c>
      <c r="D36" s="32" t="str">
        <f>+VLOOKUP($B36,'CSM  PRICE LIST 26.1.3'!$A$2:$E$110,3,FALSE)</f>
        <v>ELMAS DESEN PONY EYER ALTI</v>
      </c>
      <c r="E36" s="16">
        <f>+VLOOKUP($B36,'MASTER PRICE LIST'!$B$9:$K$119,4,FALSE)</f>
        <v>79.900000000000006</v>
      </c>
      <c r="F36" s="9">
        <f>+VLOOKUP($B36,'MASTER PRICE LIST'!$B$9:$K$119,5,FALSE)</f>
        <v>4390</v>
      </c>
      <c r="G36" s="9">
        <f>+VLOOKUP($B36,'MASTER PRICE LIST'!$B$9:$K$119,6,FALSE)</f>
        <v>3500</v>
      </c>
      <c r="H36" s="10">
        <f>+VLOOKUP($B36,'MASTER PRICE LIST'!$B$9:$K$119,7,FALSE)</f>
        <v>3000</v>
      </c>
      <c r="I36" s="3"/>
      <c r="J36" s="7"/>
    </row>
    <row r="37" spans="2:10" ht="18.75" customHeight="1" x14ac:dyDescent="0.2">
      <c r="B37" s="15" t="s">
        <v>92</v>
      </c>
      <c r="C37" s="25" t="str">
        <f>+VLOOKUP($B37,'CSM  PRICE LIST 26.1.3'!$A$2:$E$110,2,FALSE)</f>
        <v>HORSE</v>
      </c>
      <c r="D37" s="32" t="str">
        <f>+VLOOKUP($B37,'CSM  PRICE LIST 26.1.3'!$A$2:$E$110,3,FALSE)</f>
        <v>PETEK DESEN EYER ALTI</v>
      </c>
      <c r="E37" s="16">
        <f>+VLOOKUP($B37,'MASTER PRICE LIST'!$B$9:$K$119,4,FALSE)</f>
        <v>79.900000000000006</v>
      </c>
      <c r="F37" s="9">
        <f>+VLOOKUP($B37,'MASTER PRICE LIST'!$B$9:$K$119,5,FALSE)</f>
        <v>4390</v>
      </c>
      <c r="G37" s="9">
        <f>+VLOOKUP($B37,'MASTER PRICE LIST'!$B$9:$K$119,6,FALSE)</f>
        <v>3500</v>
      </c>
      <c r="H37" s="10">
        <f>+VLOOKUP($B37,'MASTER PRICE LIST'!$B$9:$K$119,7,FALSE)</f>
        <v>3000</v>
      </c>
      <c r="I37" s="3"/>
      <c r="J37" s="7"/>
    </row>
    <row r="38" spans="2:10" ht="18.75" customHeight="1" x14ac:dyDescent="0.2">
      <c r="B38" s="15" t="s">
        <v>6</v>
      </c>
      <c r="C38" s="25" t="str">
        <f>+VLOOKUP($B38,'CSM  PRICE LIST 26.1.3'!$A$2:$E$110,2,FALSE)</f>
        <v>HORSE</v>
      </c>
      <c r="D38" s="32" t="str">
        <f>+VLOOKUP($B38,'CSM  PRICE LIST 26.1.3'!$A$2:$E$110,3,FALSE)</f>
        <v>PETEK DESEN PONY EYER ALTI</v>
      </c>
      <c r="E38" s="16">
        <f>+VLOOKUP($B38,'MASTER PRICE LIST'!$B$9:$K$119,4,FALSE)</f>
        <v>79.900000000000006</v>
      </c>
      <c r="F38" s="9">
        <f>+VLOOKUP($B38,'MASTER PRICE LIST'!$B$9:$K$119,5,FALSE)</f>
        <v>4390</v>
      </c>
      <c r="G38" s="9">
        <f>+VLOOKUP($B38,'MASTER PRICE LIST'!$B$9:$K$119,6,FALSE)</f>
        <v>3500</v>
      </c>
      <c r="H38" s="10">
        <f>+VLOOKUP($B38,'MASTER PRICE LIST'!$B$9:$K$119,7,FALSE)</f>
        <v>3000</v>
      </c>
      <c r="I38" s="3"/>
      <c r="J38" s="7"/>
    </row>
    <row r="39" spans="2:10" ht="18.75" customHeight="1" x14ac:dyDescent="0.2">
      <c r="B39" s="15" t="s">
        <v>12</v>
      </c>
      <c r="C39" s="25" t="str">
        <f>+VLOOKUP($B39,'CSM  PRICE LIST 26.1.3'!$A$2:$E$110,2,FALSE)</f>
        <v>HORSE</v>
      </c>
      <c r="D39" s="32" t="str">
        <f>+VLOOKUP($B39,'CSM  PRICE LIST 26.1.3'!$A$2:$E$110,3,FALSE)</f>
        <v>SİNEKLİK BLANKET</v>
      </c>
      <c r="E39" s="16">
        <f>+VLOOKUP($B39,'MASTER PRICE LIST'!$B$9:$K$119,4,FALSE)</f>
        <v>79.900000000000006</v>
      </c>
      <c r="F39" s="9">
        <f>+VLOOKUP($B39,'MASTER PRICE LIST'!$B$9:$K$119,5,FALSE)</f>
        <v>4390</v>
      </c>
      <c r="G39" s="9">
        <f>+VLOOKUP($B39,'MASTER PRICE LIST'!$B$9:$K$119,6,FALSE)</f>
        <v>3500</v>
      </c>
      <c r="H39" s="10">
        <f>+VLOOKUP($B39,'MASTER PRICE LIST'!$B$9:$K$119,7,FALSE)</f>
        <v>3000</v>
      </c>
      <c r="I39" s="3"/>
      <c r="J39" s="7"/>
    </row>
    <row r="40" spans="2:10" ht="18.75" customHeight="1" x14ac:dyDescent="0.2">
      <c r="B40" s="15" t="s">
        <v>95</v>
      </c>
      <c r="C40" s="25" t="str">
        <f>+VLOOKUP($B40,'CSM  PRICE LIST 26.1.3'!$A$2:$E$110,2,FALSE)</f>
        <v>HORSE</v>
      </c>
      <c r="D40" s="32" t="str">
        <f>+VLOOKUP($B40,'CSM  PRICE LIST 26.1.3'!$A$2:$E$110,3,FALSE)</f>
        <v>PONY SİNEKLİK BLANKET</v>
      </c>
      <c r="E40" s="16">
        <f>+VLOOKUP($B40,'MASTER PRICE LIST'!$B$9:$K$119,4,FALSE)</f>
        <v>79.900000000000006</v>
      </c>
      <c r="F40" s="9">
        <f>+VLOOKUP($B40,'MASTER PRICE LIST'!$B$9:$K$119,5,FALSE)</f>
        <v>4390</v>
      </c>
      <c r="G40" s="9">
        <f>+VLOOKUP($B40,'MASTER PRICE LIST'!$B$9:$K$119,6,FALSE)</f>
        <v>3500</v>
      </c>
      <c r="H40" s="10">
        <f>+VLOOKUP($B40,'MASTER PRICE LIST'!$B$9:$K$119,7,FALSE)</f>
        <v>3000</v>
      </c>
      <c r="I40" s="3"/>
      <c r="J40" s="7"/>
    </row>
    <row r="41" spans="2:10" ht="18.75" customHeight="1" x14ac:dyDescent="0.2">
      <c r="B41" s="15" t="s">
        <v>7</v>
      </c>
      <c r="C41" s="25" t="str">
        <f>+VLOOKUP($B41,'CSM  PRICE LIST 26.1.3'!$A$2:$E$110,2,FALSE)</f>
        <v>HORSE</v>
      </c>
      <c r="D41" s="32" t="str">
        <f>+VLOOKUP($B41,'CSM  PRICE LIST 26.1.3'!$A$2:$E$110,3,FALSE)</f>
        <v>POLAR BLANKET</v>
      </c>
      <c r="E41" s="16">
        <f>+VLOOKUP($B41,'MASTER PRICE LIST'!$B$9:$K$119,4,FALSE)</f>
        <v>89.9</v>
      </c>
      <c r="F41" s="9">
        <f>+VLOOKUP($B41,'MASTER PRICE LIST'!$B$9:$K$119,5,FALSE)</f>
        <v>4940</v>
      </c>
      <c r="G41" s="9">
        <f>+VLOOKUP($B41,'MASTER PRICE LIST'!$B$9:$K$119,6,FALSE)</f>
        <v>3900</v>
      </c>
      <c r="H41" s="10">
        <f>+VLOOKUP($B41,'MASTER PRICE LIST'!$B$9:$K$119,7,FALSE)</f>
        <v>3400</v>
      </c>
      <c r="I41" s="3"/>
      <c r="J41" s="7"/>
    </row>
    <row r="42" spans="2:10" ht="18.75" customHeight="1" x14ac:dyDescent="0.2">
      <c r="B42" s="15" t="s">
        <v>94</v>
      </c>
      <c r="C42" s="25" t="str">
        <f>+VLOOKUP($B42,'CSM  PRICE LIST 26.1.3'!$A$2:$E$110,2,FALSE)</f>
        <v>HORSE</v>
      </c>
      <c r="D42" s="32" t="str">
        <f>+VLOOKUP($B42,'CSM  PRICE LIST 26.1.3'!$A$2:$E$110,3,FALSE)</f>
        <v>PONY POLAR BLANKET</v>
      </c>
      <c r="E42" s="16">
        <f>+VLOOKUP($B42,'MASTER PRICE LIST'!$B$9:$K$119,4,FALSE)</f>
        <v>89.9</v>
      </c>
      <c r="F42" s="9">
        <f>+VLOOKUP($B42,'MASTER PRICE LIST'!$B$9:$K$119,5,FALSE)</f>
        <v>4940</v>
      </c>
      <c r="G42" s="9">
        <f>+VLOOKUP($B42,'MASTER PRICE LIST'!$B$9:$K$119,6,FALSE)</f>
        <v>3900</v>
      </c>
      <c r="H42" s="10">
        <f>+VLOOKUP($B42,'MASTER PRICE LIST'!$B$9:$K$119,7,FALSE)</f>
        <v>3400</v>
      </c>
      <c r="I42" s="3"/>
      <c r="J42" s="7"/>
    </row>
    <row r="43" spans="2:10" ht="18.75" customHeight="1" x14ac:dyDescent="0.2">
      <c r="B43" s="15" t="s">
        <v>9</v>
      </c>
      <c r="C43" s="25" t="str">
        <f>+VLOOKUP($B43,'CSM  PRICE LIST 26.1.3'!$A$2:$E$110,2,FALSE)</f>
        <v>HORSE</v>
      </c>
      <c r="D43" s="32" t="str">
        <f>+VLOOKUP($B43,'CSM  PRICE LIST 26.1.3'!$A$2:$E$110,3,FALSE)</f>
        <v>TER BLANKETİ</v>
      </c>
      <c r="E43" s="16">
        <f>+VLOOKUP($B43,'MASTER PRICE LIST'!$B$9:$K$119,4,FALSE)</f>
        <v>99.9</v>
      </c>
      <c r="F43" s="9">
        <f>+VLOOKUP($B43,'MASTER PRICE LIST'!$B$9:$K$119,5,FALSE)</f>
        <v>5490</v>
      </c>
      <c r="G43" s="9">
        <f>+VLOOKUP($B43,'MASTER PRICE LIST'!$B$9:$K$119,6,FALSE)</f>
        <v>4300</v>
      </c>
      <c r="H43" s="10">
        <f>+VLOOKUP($B43,'MASTER PRICE LIST'!$B$9:$K$119,7,FALSE)</f>
        <v>3800</v>
      </c>
      <c r="I43" s="3"/>
      <c r="J43" s="7"/>
    </row>
    <row r="44" spans="2:10" ht="18.75" customHeight="1" x14ac:dyDescent="0.2">
      <c r="B44" s="15" t="s">
        <v>97</v>
      </c>
      <c r="C44" s="25" t="str">
        <f>+VLOOKUP($B44,'CSM  PRICE LIST 26.1.3'!$A$2:$E$110,2,FALSE)</f>
        <v>HORSE</v>
      </c>
      <c r="D44" s="32" t="str">
        <f>+VLOOKUP($B44,'CSM  PRICE LIST 26.1.3'!$A$2:$E$110,3,FALSE)</f>
        <v>PONY TER BLANKETİ</v>
      </c>
      <c r="E44" s="16">
        <f>+VLOOKUP($B44,'MASTER PRICE LIST'!$B$9:$K$119,4,FALSE)</f>
        <v>99.9</v>
      </c>
      <c r="F44" s="9">
        <f>+VLOOKUP($B44,'MASTER PRICE LIST'!$B$9:$K$119,5,FALSE)</f>
        <v>5490</v>
      </c>
      <c r="G44" s="9">
        <f>+VLOOKUP($B44,'MASTER PRICE LIST'!$B$9:$K$119,6,FALSE)</f>
        <v>4300</v>
      </c>
      <c r="H44" s="10">
        <f>+VLOOKUP($B44,'MASTER PRICE LIST'!$B$9:$K$119,7,FALSE)</f>
        <v>3800</v>
      </c>
      <c r="I44" s="3"/>
      <c r="J44" s="7"/>
    </row>
    <row r="45" spans="2:10" ht="18.75" customHeight="1" x14ac:dyDescent="0.2">
      <c r="B45" s="15" t="s">
        <v>88</v>
      </c>
      <c r="C45" s="25" t="str">
        <f>+VLOOKUP($B45,'CSM  PRICE LIST 26.1.3'!$A$2:$E$110,2,FALSE)</f>
        <v>HORSE</v>
      </c>
      <c r="D45" s="32" t="str">
        <f>+VLOOKUP($B45,'CSM  PRICE LIST 26.1.3'!$A$2:$E$110,3,FALSE)</f>
        <v>HERITAGE DIAMOND DESEN EYER ALTI</v>
      </c>
      <c r="E45" s="16">
        <f>+VLOOKUP($B45,'MASTER PRICE LIST'!$B$9:$K$119,4,FALSE)</f>
        <v>99.9</v>
      </c>
      <c r="F45" s="9">
        <f>+VLOOKUP($B45,'MASTER PRICE LIST'!$B$9:$K$119,5,FALSE)</f>
        <v>5490</v>
      </c>
      <c r="G45" s="9">
        <f>+VLOOKUP($B45,'MASTER PRICE LIST'!$B$9:$K$119,6,FALSE)</f>
        <v>4300</v>
      </c>
      <c r="H45" s="10">
        <f>+VLOOKUP($B45,'MASTER PRICE LIST'!$B$9:$K$119,7,FALSE)</f>
        <v>3800</v>
      </c>
      <c r="I45" s="3"/>
      <c r="J45" s="7"/>
    </row>
    <row r="46" spans="2:10" ht="18.75" customHeight="1" x14ac:dyDescent="0.2">
      <c r="B46" s="15" t="s">
        <v>4</v>
      </c>
      <c r="C46" s="25" t="str">
        <f>+VLOOKUP($B46,'CSM  PRICE LIST 26.1.3'!$A$2:$E$110,2,FALSE)</f>
        <v>HORSE</v>
      </c>
      <c r="D46" s="32" t="str">
        <f>+VLOOKUP($B46,'CSM  PRICE LIST 26.1.3'!$A$2:$E$110,3,FALSE)</f>
        <v>SÜET EYER ALTI</v>
      </c>
      <c r="E46" s="16">
        <f>+VLOOKUP($B46,'MASTER PRICE LIST'!$B$9:$K$119,4,FALSE)</f>
        <v>99.9</v>
      </c>
      <c r="F46" s="9">
        <f>+VLOOKUP($B46,'MASTER PRICE LIST'!$B$9:$K$119,5,FALSE)</f>
        <v>5490</v>
      </c>
      <c r="G46" s="9">
        <f>+VLOOKUP($B46,'MASTER PRICE LIST'!$B$9:$K$119,6,FALSE)</f>
        <v>4300</v>
      </c>
      <c r="H46" s="10">
        <f>+VLOOKUP($B46,'MASTER PRICE LIST'!$B$9:$K$119,7,FALSE)</f>
        <v>3800</v>
      </c>
      <c r="I46" s="3"/>
      <c r="J46" s="7"/>
    </row>
    <row r="47" spans="2:10" ht="18.75" customHeight="1" x14ac:dyDescent="0.2">
      <c r="B47" s="15" t="s">
        <v>2</v>
      </c>
      <c r="C47" s="25" t="str">
        <f>+VLOOKUP($B47,'CSM  PRICE LIST 26.1.3'!$A$2:$E$110,2,FALSE)</f>
        <v>HORSE</v>
      </c>
      <c r="D47" s="32" t="str">
        <f>+VLOOKUP($B47,'CSM  PRICE LIST 26.1.3'!$A$2:$E$110,3,FALSE)</f>
        <v>YAĞMUR GEÇİRMEZ ÇALIŞMA BLANKETİ</v>
      </c>
      <c r="E47" s="16">
        <f>+VLOOKUP($B47,'MASTER PRICE LIST'!$B$9:$K$119,4,FALSE)</f>
        <v>99.9</v>
      </c>
      <c r="F47" s="9">
        <f>+VLOOKUP($B47,'MASTER PRICE LIST'!$B$9:$K$119,5,FALSE)</f>
        <v>5490</v>
      </c>
      <c r="G47" s="9">
        <f>+VLOOKUP($B47,'MASTER PRICE LIST'!$B$9:$K$119,6,FALSE)</f>
        <v>4300</v>
      </c>
      <c r="H47" s="10">
        <f>+VLOOKUP($B47,'MASTER PRICE LIST'!$B$9:$K$119,7,FALSE)</f>
        <v>3800</v>
      </c>
      <c r="I47" s="3"/>
      <c r="J47" s="7"/>
    </row>
    <row r="48" spans="2:10" ht="18.75" customHeight="1" x14ac:dyDescent="0.2">
      <c r="B48" s="15" t="s">
        <v>99</v>
      </c>
      <c r="C48" s="25" t="str">
        <f>+VLOOKUP($B48,'CSM  PRICE LIST 26.1.3'!$A$2:$E$110,2,FALSE)</f>
        <v>HORSE</v>
      </c>
      <c r="D48" s="32" t="str">
        <f>+VLOOKUP($B48,'CSM  PRICE LIST 26.1.3'!$A$2:$E$110,3,FALSE)</f>
        <v>PONY YAĞMUR GEÇİRMEZ ÇALIŞMA BLANKETİ</v>
      </c>
      <c r="E48" s="16">
        <f>+VLOOKUP($B48,'MASTER PRICE LIST'!$B$9:$K$119,4,FALSE)</f>
        <v>99.9</v>
      </c>
      <c r="F48" s="9">
        <f>+VLOOKUP($B48,'MASTER PRICE LIST'!$B$9:$K$119,5,FALSE)</f>
        <v>5490</v>
      </c>
      <c r="G48" s="9">
        <f>+VLOOKUP($B48,'MASTER PRICE LIST'!$B$9:$K$119,6,FALSE)</f>
        <v>4300</v>
      </c>
      <c r="H48" s="10">
        <f>+VLOOKUP($B48,'MASTER PRICE LIST'!$B$9:$K$119,7,FALSE)</f>
        <v>3800</v>
      </c>
      <c r="I48" s="3"/>
      <c r="J48" s="7"/>
    </row>
    <row r="49" spans="2:10" ht="18.75" customHeight="1" x14ac:dyDescent="0.2">
      <c r="B49" s="15" t="s">
        <v>8</v>
      </c>
      <c r="C49" s="25" t="str">
        <f>+VLOOKUP($B49,'CSM  PRICE LIST 26.1.3'!$A$2:$E$110,2,FALSE)</f>
        <v>HORSE</v>
      </c>
      <c r="D49" s="32" t="str">
        <f>+VLOOKUP($B49,'CSM  PRICE LIST 26.1.3'!$A$2:$E$110,3,FALSE)</f>
        <v>YAKALI POLAR BLANKET</v>
      </c>
      <c r="E49" s="16">
        <f>+VLOOKUP($B49,'MASTER PRICE LIST'!$B$9:$K$119,4,FALSE)</f>
        <v>99.9</v>
      </c>
      <c r="F49" s="9">
        <f>+VLOOKUP($B49,'MASTER PRICE LIST'!$B$9:$K$119,5,FALSE)</f>
        <v>5490</v>
      </c>
      <c r="G49" s="9">
        <f>+VLOOKUP($B49,'MASTER PRICE LIST'!$B$9:$K$119,6,FALSE)</f>
        <v>4300</v>
      </c>
      <c r="H49" s="10">
        <f>+VLOOKUP($B49,'MASTER PRICE LIST'!$B$9:$K$119,7,FALSE)</f>
        <v>3800</v>
      </c>
      <c r="I49" s="3"/>
      <c r="J49" s="7"/>
    </row>
    <row r="50" spans="2:10" ht="18.75" customHeight="1" x14ac:dyDescent="0.2">
      <c r="B50" s="15" t="s">
        <v>96</v>
      </c>
      <c r="C50" s="25" t="str">
        <f>+VLOOKUP($B50,'CSM  PRICE LIST 26.1.3'!$A$2:$E$110,2,FALSE)</f>
        <v>HORSE</v>
      </c>
      <c r="D50" s="32" t="str">
        <f>+VLOOKUP($B50,'CSM  PRICE LIST 26.1.3'!$A$2:$E$110,3,FALSE)</f>
        <v>YAKALI PONY POLAR BLANKET</v>
      </c>
      <c r="E50" s="16">
        <f>+VLOOKUP($B50,'MASTER PRICE LIST'!$B$9:$K$119,4,FALSE)</f>
        <v>99.9</v>
      </c>
      <c r="F50" s="9">
        <f>+VLOOKUP($B50,'MASTER PRICE LIST'!$B$9:$K$119,5,FALSE)</f>
        <v>5490</v>
      </c>
      <c r="G50" s="9">
        <f>+VLOOKUP($B50,'MASTER PRICE LIST'!$B$9:$K$119,6,FALSE)</f>
        <v>4300</v>
      </c>
      <c r="H50" s="10">
        <f>+VLOOKUP($B50,'MASTER PRICE LIST'!$B$9:$K$119,7,FALSE)</f>
        <v>3800</v>
      </c>
      <c r="I50" s="3"/>
      <c r="J50" s="7"/>
    </row>
    <row r="51" spans="2:10" ht="18.75" customHeight="1" x14ac:dyDescent="0.2">
      <c r="B51" s="15" t="s">
        <v>10</v>
      </c>
      <c r="C51" s="25" t="str">
        <f>+VLOOKUP($B51,'CSM  PRICE LIST 26.1.3'!$A$2:$E$110,2,FALSE)</f>
        <v>HORSE</v>
      </c>
      <c r="D51" s="32" t="str">
        <f>+VLOOKUP($B51,'CSM  PRICE LIST 26.1.3'!$A$2:$E$110,3,FALSE)</f>
        <v>ÇİFT RENK POLAR BLANKET</v>
      </c>
      <c r="E51" s="16">
        <f>+VLOOKUP($B51,'MASTER PRICE LIST'!$B$9:$K$119,4,FALSE)</f>
        <v>99.9</v>
      </c>
      <c r="F51" s="9">
        <f>+VLOOKUP($B51,'MASTER PRICE LIST'!$B$9:$K$119,5,FALSE)</f>
        <v>5490</v>
      </c>
      <c r="G51" s="9">
        <f>+VLOOKUP($B51,'MASTER PRICE LIST'!$B$9:$K$119,6,FALSE)</f>
        <v>4300</v>
      </c>
      <c r="H51" s="10">
        <f>+VLOOKUP($B51,'MASTER PRICE LIST'!$B$9:$K$119,7,FALSE)</f>
        <v>3800</v>
      </c>
      <c r="I51" s="3"/>
      <c r="J51" s="7"/>
    </row>
    <row r="52" spans="2:10" ht="18.75" customHeight="1" x14ac:dyDescent="0.2">
      <c r="B52" s="15" t="s">
        <v>98</v>
      </c>
      <c r="C52" s="25" t="str">
        <f>+VLOOKUP($B52,'CSM  PRICE LIST 26.1.3'!$A$2:$E$110,2,FALSE)</f>
        <v>HORSE</v>
      </c>
      <c r="D52" s="32" t="str">
        <f>+VLOOKUP($B52,'CSM  PRICE LIST 26.1.3'!$A$2:$E$110,3,FALSE)</f>
        <v>ÇİFT RENK PONY POLAR BLANKET</v>
      </c>
      <c r="E52" s="16">
        <f>+VLOOKUP($B52,'MASTER PRICE LIST'!$B$9:$K$119,4,FALSE)</f>
        <v>99.9</v>
      </c>
      <c r="F52" s="9">
        <f>+VLOOKUP($B52,'MASTER PRICE LIST'!$B$9:$K$119,5,FALSE)</f>
        <v>5490</v>
      </c>
      <c r="G52" s="9">
        <f>+VLOOKUP($B52,'MASTER PRICE LIST'!$B$9:$K$119,6,FALSE)</f>
        <v>4300</v>
      </c>
      <c r="H52" s="10">
        <f>+VLOOKUP($B52,'MASTER PRICE LIST'!$B$9:$K$119,7,FALSE)</f>
        <v>3800</v>
      </c>
      <c r="I52" s="3"/>
      <c r="J52" s="7"/>
    </row>
    <row r="53" spans="2:10" ht="18.75" customHeight="1" x14ac:dyDescent="0.2">
      <c r="B53" s="15" t="s">
        <v>109</v>
      </c>
      <c r="C53" s="25" t="str">
        <f>+VLOOKUP($B53,'CSM  PRICE LIST 26.1.3'!$A$2:$E$110,2,FALSE)</f>
        <v>HORSE</v>
      </c>
      <c r="D53" s="32" t="str">
        <f>+VLOOKUP($B53,'CSM  PRICE LIST 26.1.3'!$A$2:$E$110,3,FALSE)</f>
        <v>MEVSİMLİK AHIR BLANKETİ</v>
      </c>
      <c r="E53" s="16">
        <f>+VLOOKUP($B53,'MASTER PRICE LIST'!$B$9:$K$119,4,FALSE)</f>
        <v>189.9</v>
      </c>
      <c r="F53" s="9">
        <f>+VLOOKUP($B53,'MASTER PRICE LIST'!$B$9:$K$119,5,FALSE)</f>
        <v>10440</v>
      </c>
      <c r="G53" s="9">
        <f>+VLOOKUP($B53,'MASTER PRICE LIST'!$B$9:$K$119,6,FALSE)</f>
        <v>8300</v>
      </c>
      <c r="H53" s="10">
        <f>+VLOOKUP($B53,'MASTER PRICE LIST'!$B$9:$K$119,7,FALSE)</f>
        <v>7300</v>
      </c>
      <c r="I53" s="3"/>
      <c r="J53" s="7"/>
    </row>
    <row r="54" spans="2:10" ht="18.75" customHeight="1" x14ac:dyDescent="0.2">
      <c r="B54" s="15" t="s">
        <v>108</v>
      </c>
      <c r="C54" s="25" t="str">
        <f>+VLOOKUP($B54,'CSM  PRICE LIST 26.1.3'!$A$2:$E$110,2,FALSE)</f>
        <v>HORSE</v>
      </c>
      <c r="D54" s="32" t="str">
        <f>+VLOOKUP($B54,'CSM  PRICE LIST 26.1.3'!$A$2:$E$110,3,FALSE)</f>
        <v>MEVSİMLİK PONY AHIR BLANKETİ</v>
      </c>
      <c r="E54" s="16">
        <f>+VLOOKUP($B54,'MASTER PRICE LIST'!$B$9:$K$119,4,FALSE)</f>
        <v>189.9</v>
      </c>
      <c r="F54" s="9">
        <f>+VLOOKUP($B54,'MASTER PRICE LIST'!$B$9:$K$119,5,FALSE)</f>
        <v>10440</v>
      </c>
      <c r="G54" s="9">
        <f>+VLOOKUP($B54,'MASTER PRICE LIST'!$B$9:$K$119,6,FALSE)</f>
        <v>8300</v>
      </c>
      <c r="H54" s="10">
        <f>+VLOOKUP($B54,'MASTER PRICE LIST'!$B$9:$K$119,7,FALSE)</f>
        <v>7300</v>
      </c>
      <c r="I54" s="3"/>
      <c r="J54" s="7"/>
    </row>
    <row r="55" spans="2:10" ht="18.75" customHeight="1" x14ac:dyDescent="0.2">
      <c r="B55" s="15" t="s">
        <v>13</v>
      </c>
      <c r="C55" s="25" t="str">
        <f>+VLOOKUP($B55,'CSM  PRICE LIST 26.1.3'!$A$2:$E$110,2,FALSE)</f>
        <v>HORSE</v>
      </c>
      <c r="D55" s="32" t="str">
        <f>+VLOOKUP($B55,'CSM  PRICE LIST 26.1.3'!$A$2:$E$110,3,FALSE)</f>
        <v>KIŞLIK AHIR BLANKETİ</v>
      </c>
      <c r="E55" s="16">
        <f>+VLOOKUP($B55,'MASTER PRICE LIST'!$B$9:$K$119,4,FALSE)</f>
        <v>249.9</v>
      </c>
      <c r="F55" s="9">
        <f>+VLOOKUP($B55,'MASTER PRICE LIST'!$B$9:$K$119,5,FALSE)</f>
        <v>13740</v>
      </c>
      <c r="G55" s="9">
        <f>+VLOOKUP($B55,'MASTER PRICE LIST'!$B$9:$K$119,6,FALSE)</f>
        <v>10900</v>
      </c>
      <c r="H55" s="10">
        <f>+VLOOKUP($B55,'MASTER PRICE LIST'!$B$9:$K$119,7,FALSE)</f>
        <v>9600</v>
      </c>
      <c r="I55" s="3"/>
      <c r="J55" s="7"/>
    </row>
    <row r="56" spans="2:10" ht="18.75" customHeight="1" x14ac:dyDescent="0.2">
      <c r="B56" s="15" t="s">
        <v>100</v>
      </c>
      <c r="C56" s="25" t="str">
        <f>+VLOOKUP($B56,'CSM  PRICE LIST 26.1.3'!$A$2:$E$110,2,FALSE)</f>
        <v>HORSE</v>
      </c>
      <c r="D56" s="32" t="str">
        <f>+VLOOKUP($B56,'CSM  PRICE LIST 26.1.3'!$A$2:$E$110,3,FALSE)</f>
        <v>PONY KIŞLIK AHIR BLANKETİ</v>
      </c>
      <c r="E56" s="16">
        <f>+VLOOKUP($B56,'MASTER PRICE LIST'!$B$9:$K$119,4,FALSE)</f>
        <v>249.9</v>
      </c>
      <c r="F56" s="9">
        <f>+VLOOKUP($B56,'MASTER PRICE LIST'!$B$9:$K$119,5,FALSE)</f>
        <v>13740</v>
      </c>
      <c r="G56" s="9">
        <f>+VLOOKUP($B56,'MASTER PRICE LIST'!$B$9:$K$119,6,FALSE)</f>
        <v>10900</v>
      </c>
      <c r="H56" s="10">
        <f>+VLOOKUP($B56,'MASTER PRICE LIST'!$B$9:$K$119,7,FALSE)</f>
        <v>9600</v>
      </c>
      <c r="I56" s="3"/>
      <c r="J56" s="7"/>
    </row>
    <row r="57" spans="2:10" ht="18.75" customHeight="1" x14ac:dyDescent="0.2">
      <c r="B57" s="15" t="s">
        <v>40</v>
      </c>
      <c r="C57" s="25" t="str">
        <f>+VLOOKUP($B57,'CSM  PRICE LIST 26.1.3'!$A$2:$E$110,2,FALSE)</f>
        <v>RIDER</v>
      </c>
      <c r="D57" s="32" t="str">
        <f>+VLOOKUP($B57,'CSM  PRICE LIST 26.1.3'!$A$2:$E$110,3,FALSE)</f>
        <v>ERKEK ÇOCUK KISA KOL SOFT ANTRENMAN POLO</v>
      </c>
      <c r="E57" s="16">
        <f>+VLOOKUP($B57,'MASTER PRICE LIST'!$B$9:$K$119,4,FALSE)</f>
        <v>49.9</v>
      </c>
      <c r="F57" s="9">
        <f>+VLOOKUP($B57,'MASTER PRICE LIST'!$B$9:$K$119,5,FALSE)</f>
        <v>2740</v>
      </c>
      <c r="G57" s="9">
        <f>+VLOOKUP($B57,'MASTER PRICE LIST'!$B$9:$K$119,6,FALSE)</f>
        <v>2100</v>
      </c>
      <c r="H57" s="10">
        <f>+VLOOKUP($B57,'MASTER PRICE LIST'!$B$9:$K$119,7,FALSE)</f>
        <v>1900</v>
      </c>
      <c r="I57" s="3"/>
      <c r="J57" s="7"/>
    </row>
    <row r="58" spans="2:10" ht="18.75" customHeight="1" x14ac:dyDescent="0.2">
      <c r="B58" s="15" t="s">
        <v>42</v>
      </c>
      <c r="C58" s="25" t="str">
        <f>+VLOOKUP($B58,'CSM  PRICE LIST 26.1.3'!$A$2:$E$110,2,FALSE)</f>
        <v>RIDER</v>
      </c>
      <c r="D58" s="32" t="str">
        <f>+VLOOKUP($B58,'CSM  PRICE LIST 26.1.3'!$A$2:$E$110,3,FALSE)</f>
        <v>KIZ ÇOCUK KISA KOL YARIŞMA POLO</v>
      </c>
      <c r="E58" s="16">
        <f>+VLOOKUP($B58,'MASTER PRICE LIST'!$B$9:$K$119,4,FALSE)</f>
        <v>59.9</v>
      </c>
      <c r="F58" s="9">
        <f>+VLOOKUP($B58,'MASTER PRICE LIST'!$B$9:$K$119,5,FALSE)</f>
        <v>3290</v>
      </c>
      <c r="G58" s="9">
        <f>+VLOOKUP($B58,'MASTER PRICE LIST'!$B$9:$K$119,6,FALSE)</f>
        <v>2600</v>
      </c>
      <c r="H58" s="10">
        <f>+VLOOKUP($B58,'MASTER PRICE LIST'!$B$9:$K$119,7,FALSE)</f>
        <v>2300</v>
      </c>
      <c r="I58" s="3"/>
      <c r="J58" s="7"/>
    </row>
    <row r="59" spans="2:10" ht="18.75" customHeight="1" x14ac:dyDescent="0.2">
      <c r="B59" s="15" t="s">
        <v>38</v>
      </c>
      <c r="C59" s="25" t="str">
        <f>+VLOOKUP($B59,'CSM  PRICE LIST 26.1.3'!$A$2:$E$110,2,FALSE)</f>
        <v>RIDER</v>
      </c>
      <c r="D59" s="32" t="str">
        <f>+VLOOKUP($B59,'CSM  PRICE LIST 26.1.3'!$A$2:$E$110,3,FALSE)</f>
        <v>ERKEK ÇOCUK KISA KOL YARIŞMA POLO</v>
      </c>
      <c r="E59" s="16">
        <f>+VLOOKUP($B59,'MASTER PRICE LIST'!$B$9:$K$119,4,FALSE)</f>
        <v>59.9</v>
      </c>
      <c r="F59" s="9">
        <f>+VLOOKUP($B59,'MASTER PRICE LIST'!$B$9:$K$119,5,FALSE)</f>
        <v>3290</v>
      </c>
      <c r="G59" s="9">
        <f>+VLOOKUP($B59,'MASTER PRICE LIST'!$B$9:$K$119,6,FALSE)</f>
        <v>2600</v>
      </c>
      <c r="H59" s="10">
        <f>+VLOOKUP($B59,'MASTER PRICE LIST'!$B$9:$K$119,7,FALSE)</f>
        <v>2300</v>
      </c>
      <c r="I59" s="3"/>
      <c r="J59" s="7"/>
    </row>
    <row r="60" spans="2:10" ht="18.75" customHeight="1" x14ac:dyDescent="0.2">
      <c r="B60" s="15" t="s">
        <v>76</v>
      </c>
      <c r="C60" s="25" t="str">
        <f>+VLOOKUP($B60,'CSM  PRICE LIST 26.1.3'!$A$2:$E$110,2,FALSE)</f>
        <v>RIDER</v>
      </c>
      <c r="D60" s="32" t="str">
        <f>+VLOOKUP($B60,'CSM  PRICE LIST 26.1.3'!$A$2:$E$110,3,FALSE)</f>
        <v>KIZ ÇOCUK KISA KOL TEKNİK ANTRENMAN POLO</v>
      </c>
      <c r="E60" s="16">
        <f>+VLOOKUP($B60,'MASTER PRICE LIST'!$B$9:$K$119,4,FALSE)</f>
        <v>59.9</v>
      </c>
      <c r="F60" s="9">
        <f>+VLOOKUP($B60,'MASTER PRICE LIST'!$B$9:$K$119,5,FALSE)</f>
        <v>3290</v>
      </c>
      <c r="G60" s="9">
        <f>+VLOOKUP($B60,'MASTER PRICE LIST'!$B$9:$K$119,6,FALSE)</f>
        <v>2600</v>
      </c>
      <c r="H60" s="10">
        <f>+VLOOKUP($B60,'MASTER PRICE LIST'!$B$9:$K$119,7,FALSE)</f>
        <v>2300</v>
      </c>
      <c r="I60" s="3"/>
      <c r="J60" s="7"/>
    </row>
    <row r="61" spans="2:10" ht="18.75" customHeight="1" x14ac:dyDescent="0.2">
      <c r="B61" s="15" t="s">
        <v>39</v>
      </c>
      <c r="C61" s="25" t="str">
        <f>+VLOOKUP($B61,'CSM  PRICE LIST 26.1.3'!$A$2:$E$110,2,FALSE)</f>
        <v>RIDER</v>
      </c>
      <c r="D61" s="32" t="str">
        <f>+VLOOKUP($B61,'CSM  PRICE LIST 26.1.3'!$A$2:$E$110,3,FALSE)</f>
        <v>ERKEK ÇOCUK KISA KOL YARIŞMA POLO</v>
      </c>
      <c r="E61" s="16">
        <f>+VLOOKUP($B61,'MASTER PRICE LIST'!$B$9:$K$119,4,FALSE)</f>
        <v>59.9</v>
      </c>
      <c r="F61" s="9">
        <f>+VLOOKUP($B61,'MASTER PRICE LIST'!$B$9:$K$119,5,FALSE)</f>
        <v>3290</v>
      </c>
      <c r="G61" s="9">
        <f>+VLOOKUP($B61,'MASTER PRICE LIST'!$B$9:$K$119,6,FALSE)</f>
        <v>2600</v>
      </c>
      <c r="H61" s="10">
        <f>+VLOOKUP($B61,'MASTER PRICE LIST'!$B$9:$K$119,7,FALSE)</f>
        <v>2300</v>
      </c>
      <c r="I61" s="3"/>
      <c r="J61" s="7"/>
    </row>
    <row r="62" spans="2:10" ht="18.75" customHeight="1" x14ac:dyDescent="0.2">
      <c r="B62" s="15" t="s">
        <v>78</v>
      </c>
      <c r="C62" s="25" t="str">
        <f>+VLOOKUP($B62,'CSM  PRICE LIST 26.1.3'!$A$2:$E$110,2,FALSE)</f>
        <v>RIDER</v>
      </c>
      <c r="D62" s="32" t="str">
        <f>+VLOOKUP($B62,'CSM  PRICE LIST 26.1.3'!$A$2:$E$110,3,FALSE)</f>
        <v>ERKEK ÇOCUK KISA KOL TEKNİK ANTRENMAN POLO</v>
      </c>
      <c r="E62" s="16">
        <f>+VLOOKUP($B62,'MASTER PRICE LIST'!$B$9:$K$119,4,FALSE)</f>
        <v>59.9</v>
      </c>
      <c r="F62" s="9">
        <f>+VLOOKUP($B62,'MASTER PRICE LIST'!$B$9:$K$119,5,FALSE)</f>
        <v>3290</v>
      </c>
      <c r="G62" s="9">
        <f>+VLOOKUP($B62,'MASTER PRICE LIST'!$B$9:$K$119,6,FALSE)</f>
        <v>2600</v>
      </c>
      <c r="H62" s="10">
        <f>+VLOOKUP($B62,'MASTER PRICE LIST'!$B$9:$K$119,7,FALSE)</f>
        <v>2300</v>
      </c>
      <c r="I62" s="3"/>
      <c r="J62" s="7"/>
    </row>
    <row r="63" spans="2:10" ht="18.75" customHeight="1" x14ac:dyDescent="0.2">
      <c r="B63" s="15" t="s">
        <v>62</v>
      </c>
      <c r="C63" s="25" t="str">
        <f>+VLOOKUP($B63,'CSM  PRICE LIST 26.1.3'!$A$2:$E$110,2,FALSE)</f>
        <v>RIDER</v>
      </c>
      <c r="D63" s="32" t="str">
        <f>+VLOOKUP($B63,'CSM  PRICE LIST 26.1.3'!$A$2:$E$110,3,FALSE)</f>
        <v>KIZ ÇOCUK UZUN KOL FERMUARLI T-SHIRT</v>
      </c>
      <c r="E63" s="16">
        <f>+VLOOKUP($B63,'MASTER PRICE LIST'!$B$9:$K$119,4,FALSE)</f>
        <v>69.900000000000006</v>
      </c>
      <c r="F63" s="9">
        <f>+VLOOKUP($B63,'MASTER PRICE LIST'!$B$9:$K$119,5,FALSE)</f>
        <v>3840</v>
      </c>
      <c r="G63" s="9">
        <f>+VLOOKUP($B63,'MASTER PRICE LIST'!$B$9:$K$119,6,FALSE)</f>
        <v>3000</v>
      </c>
      <c r="H63" s="10">
        <f>+VLOOKUP($B63,'MASTER PRICE LIST'!$B$9:$K$119,7,FALSE)</f>
        <v>2600</v>
      </c>
      <c r="I63" s="3"/>
      <c r="J63" s="7"/>
    </row>
    <row r="64" spans="2:10" ht="18.75" customHeight="1" x14ac:dyDescent="0.2">
      <c r="B64" s="15" t="s">
        <v>58</v>
      </c>
      <c r="C64" s="25" t="str">
        <f>+VLOOKUP($B64,'CSM  PRICE LIST 26.1.3'!$A$2:$E$110,2,FALSE)</f>
        <v>RIDER</v>
      </c>
      <c r="D64" s="32" t="str">
        <f>+VLOOKUP($B64,'CSM  PRICE LIST 26.1.3'!$A$2:$E$110,3,FALSE)</f>
        <v>KADIN TECH T-SHIRT</v>
      </c>
      <c r="E64" s="16">
        <f>+VLOOKUP($B64,'MASTER PRICE LIST'!$B$9:$K$119,4,FALSE)</f>
        <v>69.900000000000006</v>
      </c>
      <c r="F64" s="9">
        <f>+VLOOKUP($B64,'MASTER PRICE LIST'!$B$9:$K$119,5,FALSE)</f>
        <v>3840</v>
      </c>
      <c r="G64" s="9">
        <f>+VLOOKUP($B64,'MASTER PRICE LIST'!$B$9:$K$119,6,FALSE)</f>
        <v>3000</v>
      </c>
      <c r="H64" s="10">
        <f>+VLOOKUP($B64,'MASTER PRICE LIST'!$B$9:$K$119,7,FALSE)</f>
        <v>2600</v>
      </c>
      <c r="I64" s="3"/>
      <c r="J64" s="7"/>
    </row>
    <row r="65" spans="2:10" ht="18.75" customHeight="1" x14ac:dyDescent="0.2">
      <c r="B65" s="15" t="s">
        <v>57</v>
      </c>
      <c r="C65" s="25" t="str">
        <f>+VLOOKUP($B65,'CSM  PRICE LIST 26.1.3'!$A$2:$E$110,2,FALSE)</f>
        <v>RIDER</v>
      </c>
      <c r="D65" s="32" t="str">
        <f>+VLOOKUP($B65,'CSM  PRICE LIST 26.1.3'!$A$2:$E$110,3,FALSE)</f>
        <v>KADIN SOFT ANTRENMAN POLO</v>
      </c>
      <c r="E65" s="16">
        <f>+VLOOKUP($B65,'MASTER PRICE LIST'!$B$9:$K$119,4,FALSE)</f>
        <v>69.900000000000006</v>
      </c>
      <c r="F65" s="9">
        <f>+VLOOKUP($B65,'MASTER PRICE LIST'!$B$9:$K$119,5,FALSE)</f>
        <v>3840</v>
      </c>
      <c r="G65" s="9">
        <f>+VLOOKUP($B65,'MASTER PRICE LIST'!$B$9:$K$119,6,FALSE)</f>
        <v>3000</v>
      </c>
      <c r="H65" s="10">
        <f>+VLOOKUP($B65,'MASTER PRICE LIST'!$B$9:$K$119,7,FALSE)</f>
        <v>2600</v>
      </c>
      <c r="I65" s="3"/>
      <c r="J65" s="7"/>
    </row>
    <row r="66" spans="2:10" ht="18.75" customHeight="1" x14ac:dyDescent="0.2">
      <c r="B66" s="15" t="s">
        <v>52</v>
      </c>
      <c r="C66" s="25" t="str">
        <f>+VLOOKUP($B66,'CSM  PRICE LIST 26.1.3'!$A$2:$E$110,2,FALSE)</f>
        <v>RIDER</v>
      </c>
      <c r="D66" s="32" t="str">
        <f>+VLOOKUP($B66,'CSM  PRICE LIST 26.1.3'!$A$2:$E$110,3,FALSE)</f>
        <v xml:space="preserve">ERKEK KISA KOL SOFT ANTRENMAN POLO </v>
      </c>
      <c r="E66" s="16">
        <f>+VLOOKUP($B66,'MASTER PRICE LIST'!$B$9:$K$119,4,FALSE)</f>
        <v>69.900000000000006</v>
      </c>
      <c r="F66" s="9">
        <f>+VLOOKUP($B66,'MASTER PRICE LIST'!$B$9:$K$119,5,FALSE)</f>
        <v>3840</v>
      </c>
      <c r="G66" s="9">
        <f>+VLOOKUP($B66,'MASTER PRICE LIST'!$B$9:$K$119,6,FALSE)</f>
        <v>3000</v>
      </c>
      <c r="H66" s="10">
        <f>+VLOOKUP($B66,'MASTER PRICE LIST'!$B$9:$K$119,7,FALSE)</f>
        <v>2600</v>
      </c>
      <c r="I66" s="3"/>
      <c r="J66" s="7"/>
    </row>
    <row r="67" spans="2:10" ht="18.75" customHeight="1" x14ac:dyDescent="0.2">
      <c r="B67" s="15" t="s">
        <v>77</v>
      </c>
      <c r="C67" s="25" t="str">
        <f>+VLOOKUP($B67,'CSM  PRICE LIST 26.1.3'!$A$2:$E$110,2,FALSE)</f>
        <v>RIDER</v>
      </c>
      <c r="D67" s="32" t="str">
        <f>+VLOOKUP($B67,'CSM  PRICE LIST 26.1.3'!$A$2:$E$110,3,FALSE)</f>
        <v>KIZ ÇOCUK KISA KOL YARIŞMA POLO</v>
      </c>
      <c r="E67" s="16">
        <f>+VLOOKUP($B67,'MASTER PRICE LIST'!$B$9:$K$119,4,FALSE)</f>
        <v>69.900000000000006</v>
      </c>
      <c r="F67" s="9">
        <f>+VLOOKUP($B67,'MASTER PRICE LIST'!$B$9:$K$119,5,FALSE)</f>
        <v>3840</v>
      </c>
      <c r="G67" s="9">
        <f>+VLOOKUP($B67,'MASTER PRICE LIST'!$B$9:$K$119,6,FALSE)</f>
        <v>3000</v>
      </c>
      <c r="H67" s="10">
        <f>+VLOOKUP($B67,'MASTER PRICE LIST'!$B$9:$K$119,7,FALSE)</f>
        <v>2600</v>
      </c>
      <c r="I67" s="3"/>
      <c r="J67" s="7"/>
    </row>
    <row r="68" spans="2:10" ht="18.75" customHeight="1" x14ac:dyDescent="0.2">
      <c r="B68" s="15" t="s">
        <v>41</v>
      </c>
      <c r="C68" s="25" t="str">
        <f>+VLOOKUP($B68,'CSM  PRICE LIST 26.1.3'!$A$2:$E$110,2,FALSE)</f>
        <v>RIDER</v>
      </c>
      <c r="D68" s="32" t="str">
        <f>+VLOOKUP($B68,'CSM  PRICE LIST 26.1.3'!$A$2:$E$110,3,FALSE)</f>
        <v>KIZ ÇOCUK UZUN KOL YARIŞMA POLO</v>
      </c>
      <c r="E68" s="16">
        <f>+VLOOKUP($B68,'MASTER PRICE LIST'!$B$9:$K$119,4,FALSE)</f>
        <v>69.900000000000006</v>
      </c>
      <c r="F68" s="9">
        <f>+VLOOKUP($B68,'MASTER PRICE LIST'!$B$9:$K$119,5,FALSE)</f>
        <v>3840</v>
      </c>
      <c r="G68" s="9">
        <f>+VLOOKUP($B68,'MASTER PRICE LIST'!$B$9:$K$119,6,FALSE)</f>
        <v>3000</v>
      </c>
      <c r="H68" s="10">
        <f>+VLOOKUP($B68,'MASTER PRICE LIST'!$B$9:$K$119,7,FALSE)</f>
        <v>2600</v>
      </c>
      <c r="I68" s="3"/>
      <c r="J68" s="7"/>
    </row>
    <row r="69" spans="2:10" ht="18.75" customHeight="1" x14ac:dyDescent="0.2">
      <c r="B69" s="15" t="s">
        <v>36</v>
      </c>
      <c r="C69" s="25" t="str">
        <f>+VLOOKUP($B69,'CSM  PRICE LIST 26.1.3'!$A$2:$E$110,2,FALSE)</f>
        <v>RIDER</v>
      </c>
      <c r="D69" s="32" t="str">
        <f>+VLOOKUP($B69,'CSM  PRICE LIST 26.1.3'!$A$2:$E$110,3,FALSE)</f>
        <v>ERKEK ÇOCUK UZUN KOL YARIŞMA POLO</v>
      </c>
      <c r="E69" s="16">
        <f>+VLOOKUP($B69,'MASTER PRICE LIST'!$B$9:$K$119,4,FALSE)</f>
        <v>69.900000000000006</v>
      </c>
      <c r="F69" s="9">
        <f>+VLOOKUP($B69,'MASTER PRICE LIST'!$B$9:$K$119,5,FALSE)</f>
        <v>3840</v>
      </c>
      <c r="G69" s="9">
        <f>+VLOOKUP($B69,'MASTER PRICE LIST'!$B$9:$K$119,6,FALSE)</f>
        <v>3000</v>
      </c>
      <c r="H69" s="10">
        <f>+VLOOKUP($B69,'MASTER PRICE LIST'!$B$9:$K$119,7,FALSE)</f>
        <v>2600</v>
      </c>
      <c r="I69" s="3"/>
      <c r="J69" s="7"/>
    </row>
    <row r="70" spans="2:10" ht="18.75" customHeight="1" x14ac:dyDescent="0.2">
      <c r="B70" s="15" t="s">
        <v>37</v>
      </c>
      <c r="C70" s="25" t="str">
        <f>+VLOOKUP($B70,'CSM  PRICE LIST 26.1.3'!$A$2:$E$110,2,FALSE)</f>
        <v>RIDER</v>
      </c>
      <c r="D70" s="32" t="str">
        <f>+VLOOKUP($B70,'CSM  PRICE LIST 26.1.3'!$A$2:$E$110,3,FALSE)</f>
        <v>ERKEK ÇOCUK UZUN KOL YARIŞMA POLO</v>
      </c>
      <c r="E70" s="16">
        <f>+VLOOKUP($B70,'MASTER PRICE LIST'!$B$9:$K$119,4,FALSE)</f>
        <v>69.900000000000006</v>
      </c>
      <c r="F70" s="9">
        <f>+VLOOKUP($B70,'MASTER PRICE LIST'!$B$9:$K$119,5,FALSE)</f>
        <v>3840</v>
      </c>
      <c r="G70" s="9">
        <f>+VLOOKUP($B70,'MASTER PRICE LIST'!$B$9:$K$119,6,FALSE)</f>
        <v>3000</v>
      </c>
      <c r="H70" s="10">
        <f>+VLOOKUP($B70,'MASTER PRICE LIST'!$B$9:$K$119,7,FALSE)</f>
        <v>2600</v>
      </c>
      <c r="I70" s="3"/>
      <c r="J70" s="7"/>
    </row>
    <row r="71" spans="2:10" ht="18.75" customHeight="1" x14ac:dyDescent="0.2">
      <c r="B71" s="15" t="s">
        <v>79</v>
      </c>
      <c r="C71" s="25" t="str">
        <f>+VLOOKUP($B71,'CSM  PRICE LIST 26.1.3'!$A$2:$E$110,2,FALSE)</f>
        <v>RIDER</v>
      </c>
      <c r="D71" s="32" t="str">
        <f>+VLOOKUP($B71,'CSM  PRICE LIST 26.1.3'!$A$2:$E$110,3,FALSE)</f>
        <v>KIZ ÇOCUK KISA KOL YARIŞMA POLO</v>
      </c>
      <c r="E71" s="16">
        <f>+VLOOKUP($B71,'MASTER PRICE LIST'!$B$9:$K$119,4,FALSE)</f>
        <v>69.900000000000006</v>
      </c>
      <c r="F71" s="9">
        <f>+VLOOKUP($B71,'MASTER PRICE LIST'!$B$9:$K$119,5,FALSE)</f>
        <v>3840</v>
      </c>
      <c r="G71" s="9">
        <f>+VLOOKUP($B71,'MASTER PRICE LIST'!$B$9:$K$119,6,FALSE)</f>
        <v>3000</v>
      </c>
      <c r="H71" s="10">
        <f>+VLOOKUP($B71,'MASTER PRICE LIST'!$B$9:$K$119,7,FALSE)</f>
        <v>2600</v>
      </c>
      <c r="I71" s="3"/>
      <c r="J71" s="7"/>
    </row>
    <row r="72" spans="2:10" ht="18.75" customHeight="1" x14ac:dyDescent="0.2">
      <c r="B72" s="15" t="s">
        <v>43</v>
      </c>
      <c r="C72" s="25" t="str">
        <f>+VLOOKUP($B72,'CSM  PRICE LIST 26.1.3'!$A$2:$E$110,2,FALSE)</f>
        <v>RIDER</v>
      </c>
      <c r="D72" s="32" t="str">
        <f>+VLOOKUP($B72,'CSM  PRICE LIST 26.1.3'!$A$2:$E$110,3,FALSE)</f>
        <v>KIZ ÇOCUK KISA KOL YARIŞMA POLO</v>
      </c>
      <c r="E72" s="16">
        <f>+VLOOKUP($B72,'MASTER PRICE LIST'!$B$9:$K$119,4,FALSE)</f>
        <v>69.900000000000006</v>
      </c>
      <c r="F72" s="9">
        <f>+VLOOKUP($B72,'MASTER PRICE LIST'!$B$9:$K$119,5,FALSE)</f>
        <v>3840</v>
      </c>
      <c r="G72" s="9">
        <f>+VLOOKUP($B72,'MASTER PRICE LIST'!$B$9:$K$119,6,FALSE)</f>
        <v>3000</v>
      </c>
      <c r="H72" s="10">
        <f>+VLOOKUP($B72,'MASTER PRICE LIST'!$B$9:$K$119,7,FALSE)</f>
        <v>2600</v>
      </c>
      <c r="I72" s="3"/>
      <c r="J72" s="7"/>
    </row>
    <row r="73" spans="2:10" ht="18.75" customHeight="1" x14ac:dyDescent="0.2">
      <c r="B73" s="15" t="s">
        <v>55</v>
      </c>
      <c r="C73" s="25" t="str">
        <f>+VLOOKUP($B73,'CSM  PRICE LIST 26.1.3'!$A$2:$E$110,2,FALSE)</f>
        <v>RIDER</v>
      </c>
      <c r="D73" s="32" t="str">
        <f>+VLOOKUP($B73,'CSM  PRICE LIST 26.1.3'!$A$2:$E$110,3,FALSE)</f>
        <v>KADIN KISA KOL YARIŞMA POLO</v>
      </c>
      <c r="E73" s="16">
        <f>+VLOOKUP($B73,'MASTER PRICE LIST'!$B$9:$K$119,4,FALSE)</f>
        <v>89.9</v>
      </c>
      <c r="F73" s="9">
        <f>+VLOOKUP($B73,'MASTER PRICE LIST'!$B$9:$K$119,5,FALSE)</f>
        <v>4940</v>
      </c>
      <c r="G73" s="9">
        <f>+VLOOKUP($B73,'MASTER PRICE LIST'!$B$9:$K$119,6,FALSE)</f>
        <v>3900</v>
      </c>
      <c r="H73" s="10">
        <f>+VLOOKUP($B73,'MASTER PRICE LIST'!$B$9:$K$119,7,FALSE)</f>
        <v>3400</v>
      </c>
      <c r="I73" s="3"/>
      <c r="J73" s="7"/>
    </row>
    <row r="74" spans="2:10" ht="18.75" customHeight="1" x14ac:dyDescent="0.2">
      <c r="B74" s="15" t="s">
        <v>49</v>
      </c>
      <c r="C74" s="25" t="str">
        <f>+VLOOKUP($B74,'CSM  PRICE LIST 26.1.3'!$A$2:$E$110,2,FALSE)</f>
        <v>RIDER</v>
      </c>
      <c r="D74" s="32" t="str">
        <f>+VLOOKUP($B74,'CSM  PRICE LIST 26.1.3'!$A$2:$E$110,3,FALSE)</f>
        <v>ERKEK KISA KOL YARIŞMA POLO</v>
      </c>
      <c r="E74" s="16">
        <f>+VLOOKUP($B74,'MASTER PRICE LIST'!$B$9:$K$119,4,FALSE)</f>
        <v>89.9</v>
      </c>
      <c r="F74" s="9">
        <f>+VLOOKUP($B74,'MASTER PRICE LIST'!$B$9:$K$119,5,FALSE)</f>
        <v>4940</v>
      </c>
      <c r="G74" s="9">
        <f>+VLOOKUP($B74,'MASTER PRICE LIST'!$B$9:$K$119,6,FALSE)</f>
        <v>3900</v>
      </c>
      <c r="H74" s="10">
        <f>+VLOOKUP($B74,'MASTER PRICE LIST'!$B$9:$K$119,7,FALSE)</f>
        <v>3400</v>
      </c>
      <c r="I74" s="3"/>
      <c r="J74" s="7"/>
    </row>
    <row r="75" spans="2:10" ht="18.75" customHeight="1" x14ac:dyDescent="0.2">
      <c r="B75" s="15" t="s">
        <v>80</v>
      </c>
      <c r="C75" s="25" t="str">
        <f>+VLOOKUP($B75,'CSM  PRICE LIST 26.1.3'!$A$2:$E$110,2,FALSE)</f>
        <v>RIDER</v>
      </c>
      <c r="D75" s="32" t="str">
        <f>+VLOOKUP($B75,'CSM  PRICE LIST 26.1.3'!$A$2:$E$110,3,FALSE)</f>
        <v>KADIN KISA KOL TEKNİK ANTRENMAN POLO</v>
      </c>
      <c r="E75" s="16">
        <f>+VLOOKUP($B75,'MASTER PRICE LIST'!$B$9:$K$119,4,FALSE)</f>
        <v>89.9</v>
      </c>
      <c r="F75" s="9">
        <f>+VLOOKUP($B75,'MASTER PRICE LIST'!$B$9:$K$119,5,FALSE)</f>
        <v>4940</v>
      </c>
      <c r="G75" s="9">
        <f>+VLOOKUP($B75,'MASTER PRICE LIST'!$B$9:$K$119,6,FALSE)</f>
        <v>3900</v>
      </c>
      <c r="H75" s="10">
        <f>+VLOOKUP($B75,'MASTER PRICE LIST'!$B$9:$K$119,7,FALSE)</f>
        <v>3400</v>
      </c>
      <c r="I75" s="3"/>
      <c r="J75" s="7"/>
    </row>
    <row r="76" spans="2:10" ht="18.75" customHeight="1" x14ac:dyDescent="0.2">
      <c r="B76" s="15" t="s">
        <v>50</v>
      </c>
      <c r="C76" s="25" t="str">
        <f>+VLOOKUP($B76,'CSM  PRICE LIST 26.1.3'!$A$2:$E$110,2,FALSE)</f>
        <v>RIDER</v>
      </c>
      <c r="D76" s="32" t="str">
        <f>+VLOOKUP($B76,'CSM  PRICE LIST 26.1.3'!$A$2:$E$110,3,FALSE)</f>
        <v>ERKEK KISA KOL YARIŞMA POLO</v>
      </c>
      <c r="E76" s="16">
        <f>+VLOOKUP($B76,'MASTER PRICE LIST'!$B$9:$K$119,4,FALSE)</f>
        <v>89.9</v>
      </c>
      <c r="F76" s="9">
        <f>+VLOOKUP($B76,'MASTER PRICE LIST'!$B$9:$K$119,5,FALSE)</f>
        <v>4940</v>
      </c>
      <c r="G76" s="9">
        <f>+VLOOKUP($B76,'MASTER PRICE LIST'!$B$9:$K$119,6,FALSE)</f>
        <v>3900</v>
      </c>
      <c r="H76" s="10">
        <f>+VLOOKUP($B76,'MASTER PRICE LIST'!$B$9:$K$119,7,FALSE)</f>
        <v>3400</v>
      </c>
      <c r="I76" s="3"/>
      <c r="J76" s="7"/>
    </row>
    <row r="77" spans="2:10" ht="18.75" customHeight="1" x14ac:dyDescent="0.2">
      <c r="B77" s="15" t="s">
        <v>30</v>
      </c>
      <c r="C77" s="25" t="str">
        <f>+VLOOKUP($B77,'CSM  PRICE LIST 26.1.3'!$A$2:$E$110,2,FALSE)</f>
        <v>RIDER</v>
      </c>
      <c r="D77" s="32" t="str">
        <f>+VLOOKUP($B77,'CSM  PRICE LIST 26.1.3'!$A$2:$E$110,3,FALSE)</f>
        <v>ÇOCUK ŞİŞME YELEK</v>
      </c>
      <c r="E77" s="16">
        <f>+VLOOKUP($B77,'MASTER PRICE LIST'!$B$9:$K$119,4,FALSE)</f>
        <v>89.9</v>
      </c>
      <c r="F77" s="9">
        <f>+VLOOKUP($B77,'MASTER PRICE LIST'!$B$9:$K$119,5,FALSE)</f>
        <v>4940</v>
      </c>
      <c r="G77" s="9">
        <f>+VLOOKUP($B77,'MASTER PRICE LIST'!$B$9:$K$119,6,FALSE)</f>
        <v>3900</v>
      </c>
      <c r="H77" s="10">
        <f>+VLOOKUP($B77,'MASTER PRICE LIST'!$B$9:$K$119,7,FALSE)</f>
        <v>3400</v>
      </c>
      <c r="I77" s="3"/>
      <c r="J77" s="7"/>
    </row>
    <row r="78" spans="2:10" ht="18.75" customHeight="1" x14ac:dyDescent="0.2">
      <c r="B78" s="15" t="s">
        <v>81</v>
      </c>
      <c r="C78" s="25" t="str">
        <f>+VLOOKUP($B78,'CSM  PRICE LIST 26.1.3'!$A$2:$E$110,2,FALSE)</f>
        <v>RIDER</v>
      </c>
      <c r="D78" s="32" t="str">
        <f>+VLOOKUP($B78,'CSM  PRICE LIST 26.1.3'!$A$2:$E$110,3,FALSE)</f>
        <v>ERKEK KISA KOL TEKNİK ANTRENMAN POLO</v>
      </c>
      <c r="E78" s="16">
        <f>+VLOOKUP($B78,'MASTER PRICE LIST'!$B$9:$K$119,4,FALSE)</f>
        <v>89.9</v>
      </c>
      <c r="F78" s="9">
        <f>+VLOOKUP($B78,'MASTER PRICE LIST'!$B$9:$K$119,5,FALSE)</f>
        <v>4940</v>
      </c>
      <c r="G78" s="9">
        <f>+VLOOKUP($B78,'MASTER PRICE LIST'!$B$9:$K$119,6,FALSE)</f>
        <v>3900</v>
      </c>
      <c r="H78" s="10">
        <f>+VLOOKUP($B78,'MASTER PRICE LIST'!$B$9:$K$119,7,FALSE)</f>
        <v>3400</v>
      </c>
      <c r="I78" s="3"/>
      <c r="J78" s="7"/>
    </row>
    <row r="79" spans="2:10" ht="18.75" customHeight="1" x14ac:dyDescent="0.2">
      <c r="B79" s="15" t="s">
        <v>84</v>
      </c>
      <c r="C79" s="25" t="str">
        <f>+VLOOKUP($B79,'CSM  PRICE LIST 26.1.3'!$A$2:$E$110,2,FALSE)</f>
        <v>RIDER</v>
      </c>
      <c r="D79" s="32" t="str">
        <f>+VLOOKUP($B79,'CSM  PRICE LIST 26.1.3'!$A$2:$E$110,3,FALSE)</f>
        <v>ERKEK KISA KOL YARIŞMA POLO</v>
      </c>
      <c r="E79" s="16">
        <f>+VLOOKUP($B79,'MASTER PRICE LIST'!$B$9:$K$119,4,FALSE)</f>
        <v>89.9</v>
      </c>
      <c r="F79" s="9">
        <f>+VLOOKUP($B79,'MASTER PRICE LIST'!$B$9:$K$119,5,FALSE)</f>
        <v>4940</v>
      </c>
      <c r="G79" s="9">
        <f>+VLOOKUP($B79,'MASTER PRICE LIST'!$B$9:$K$119,6,FALSE)</f>
        <v>3900</v>
      </c>
      <c r="H79" s="10">
        <f>+VLOOKUP($B79,'MASTER PRICE LIST'!$B$9:$K$119,7,FALSE)</f>
        <v>3400</v>
      </c>
      <c r="I79" s="3"/>
      <c r="J79" s="7"/>
    </row>
    <row r="80" spans="2:10" ht="18.75" customHeight="1" x14ac:dyDescent="0.2">
      <c r="B80" s="15" t="s">
        <v>33</v>
      </c>
      <c r="C80" s="25" t="str">
        <f>+VLOOKUP($B80,'CSM  PRICE LIST 26.1.3'!$A$2:$E$110,2,FALSE)</f>
        <v>RIDER</v>
      </c>
      <c r="D80" s="32" t="str">
        <f>+VLOOKUP($B80,'CSM  PRICE LIST 26.1.3'!$A$2:$E$110,3,FALSE)</f>
        <v>ÇOCUK POLAR HIRKA</v>
      </c>
      <c r="E80" s="16">
        <f>+VLOOKUP($B80,'MASTER PRICE LIST'!$B$9:$K$119,4,FALSE)</f>
        <v>99.9</v>
      </c>
      <c r="F80" s="9">
        <f>+VLOOKUP($B80,'MASTER PRICE LIST'!$B$9:$K$119,5,FALSE)</f>
        <v>5490</v>
      </c>
      <c r="G80" s="9">
        <f>+VLOOKUP($B80,'MASTER PRICE LIST'!$B$9:$K$119,6,FALSE)</f>
        <v>4300</v>
      </c>
      <c r="H80" s="10">
        <f>+VLOOKUP($B80,'MASTER PRICE LIST'!$B$9:$K$119,7,FALSE)</f>
        <v>3800</v>
      </c>
      <c r="I80" s="3"/>
      <c r="J80" s="7"/>
    </row>
    <row r="81" spans="2:10" ht="18.75" customHeight="1" x14ac:dyDescent="0.2">
      <c r="B81" s="15" t="s">
        <v>53</v>
      </c>
      <c r="C81" s="25" t="str">
        <f>+VLOOKUP($B81,'CSM  PRICE LIST 26.1.3'!$A$2:$E$110,2,FALSE)</f>
        <v>RIDER</v>
      </c>
      <c r="D81" s="32" t="str">
        <f>+VLOOKUP($B81,'CSM  PRICE LIST 26.1.3'!$A$2:$E$110,3,FALSE)</f>
        <v>KADIN UZUN KOL FERMUARLI T-SHIRT</v>
      </c>
      <c r="E81" s="16">
        <f>+VLOOKUP($B81,'MASTER PRICE LIST'!$B$9:$K$119,4,FALSE)</f>
        <v>99.9</v>
      </c>
      <c r="F81" s="9">
        <f>+VLOOKUP($B81,'MASTER PRICE LIST'!$B$9:$K$119,5,FALSE)</f>
        <v>5490</v>
      </c>
      <c r="G81" s="9">
        <f>+VLOOKUP($B81,'MASTER PRICE LIST'!$B$9:$K$119,6,FALSE)</f>
        <v>4300</v>
      </c>
      <c r="H81" s="10">
        <f>+VLOOKUP($B81,'MASTER PRICE LIST'!$B$9:$K$119,7,FALSE)</f>
        <v>3800</v>
      </c>
      <c r="I81" s="3"/>
      <c r="J81" s="7"/>
    </row>
    <row r="82" spans="2:10" ht="18.75" customHeight="1" x14ac:dyDescent="0.2">
      <c r="B82" s="15" t="s">
        <v>153</v>
      </c>
      <c r="C82" s="25" t="str">
        <f>+VLOOKUP($B82,'CSM  PRICE LIST 26.1.3'!$A$2:$E$110,2,FALSE)</f>
        <v>RIDER</v>
      </c>
      <c r="D82" s="32" t="str">
        <f>+VLOOKUP($B82,'CSM  PRICE LIST 26.1.3'!$A$2:$E$110,3,FALSE)</f>
        <v>STRASS TAŞ DETAYLI KADIN UZUN KOL FERMUARLI T-SHIRT</v>
      </c>
      <c r="E82" s="16">
        <f>+VLOOKUP($B82,'MASTER PRICE LIST'!$B$9:$K$119,4,FALSE)</f>
        <v>119.9</v>
      </c>
      <c r="F82" s="9">
        <f>+VLOOKUP($B82,'MASTER PRICE LIST'!$B$9:$K$119,5,FALSE)</f>
        <v>6590</v>
      </c>
      <c r="G82" s="9">
        <f>+VLOOKUP($B82,'MASTER PRICE LIST'!$B$9:$K$119,6,FALSE)</f>
        <v>5200</v>
      </c>
      <c r="H82" s="10">
        <f>+VLOOKUP($B82,'MASTER PRICE LIST'!$B$9:$K$119,7,FALSE)</f>
        <v>4600</v>
      </c>
      <c r="I82" s="3"/>
      <c r="J82" s="7"/>
    </row>
    <row r="83" spans="2:10" ht="18.75" customHeight="1" x14ac:dyDescent="0.2">
      <c r="B83" s="15" t="s">
        <v>31</v>
      </c>
      <c r="C83" s="25" t="str">
        <f>+VLOOKUP($B83,'CSM  PRICE LIST 26.1.3'!$A$2:$E$110,2,FALSE)</f>
        <v>RIDER</v>
      </c>
      <c r="D83" s="32" t="str">
        <f>+VLOOKUP($B83,'CSM  PRICE LIST 26.1.3'!$A$2:$E$110,3,FALSE)</f>
        <v>ERKEK ŞİŞME YELEK</v>
      </c>
      <c r="E83" s="16">
        <f>+VLOOKUP($B83,'MASTER PRICE LIST'!$B$9:$K$119,4,FALSE)</f>
        <v>99.9</v>
      </c>
      <c r="F83" s="9">
        <f>+VLOOKUP($B83,'MASTER PRICE LIST'!$B$9:$K$119,5,FALSE)</f>
        <v>5490</v>
      </c>
      <c r="G83" s="9">
        <f>+VLOOKUP($B83,'MASTER PRICE LIST'!$B$9:$K$119,6,FALSE)</f>
        <v>4300</v>
      </c>
      <c r="H83" s="10">
        <f>+VLOOKUP($B83,'MASTER PRICE LIST'!$B$9:$K$119,7,FALSE)</f>
        <v>3800</v>
      </c>
      <c r="I83" s="3"/>
      <c r="J83" s="7"/>
    </row>
    <row r="84" spans="2:10" ht="18.75" customHeight="1" x14ac:dyDescent="0.2">
      <c r="B84" s="15" t="s">
        <v>32</v>
      </c>
      <c r="C84" s="25" t="str">
        <f>+VLOOKUP($B84,'CSM  PRICE LIST 26.1.3'!$A$2:$E$110,2,FALSE)</f>
        <v>RIDER</v>
      </c>
      <c r="D84" s="32" t="str">
        <f>+VLOOKUP($B84,'CSM  PRICE LIST 26.1.3'!$A$2:$E$110,3,FALSE)</f>
        <v>KADIN ŞİŞME YELEK</v>
      </c>
      <c r="E84" s="16">
        <f>+VLOOKUP($B84,'MASTER PRICE LIST'!$B$9:$K$119,4,FALSE)</f>
        <v>99.9</v>
      </c>
      <c r="F84" s="9">
        <f>+VLOOKUP($B84,'MASTER PRICE LIST'!$B$9:$K$119,5,FALSE)</f>
        <v>5490</v>
      </c>
      <c r="G84" s="9">
        <f>+VLOOKUP($B84,'MASTER PRICE LIST'!$B$9:$K$119,6,FALSE)</f>
        <v>4300</v>
      </c>
      <c r="H84" s="10">
        <f>+VLOOKUP($B84,'MASTER PRICE LIST'!$B$9:$K$119,7,FALSE)</f>
        <v>3800</v>
      </c>
      <c r="I84" s="3"/>
      <c r="J84" s="7"/>
    </row>
    <row r="85" spans="2:10" ht="18.75" customHeight="1" x14ac:dyDescent="0.2">
      <c r="B85" s="15" t="s">
        <v>34</v>
      </c>
      <c r="C85" s="25" t="str">
        <f>+VLOOKUP($B85,'CSM  PRICE LIST 26.1.3'!$A$2:$E$110,2,FALSE)</f>
        <v>RIDER</v>
      </c>
      <c r="D85" s="32" t="str">
        <f>+VLOOKUP($B85,'CSM  PRICE LIST 26.1.3'!$A$2:$E$110,3,FALSE)</f>
        <v>ERKEK POLAR HIRKA</v>
      </c>
      <c r="E85" s="16">
        <f>+VLOOKUP($B85,'MASTER PRICE LIST'!$B$9:$K$119,4,FALSE)</f>
        <v>99.9</v>
      </c>
      <c r="F85" s="9">
        <f>+VLOOKUP($B85,'MASTER PRICE LIST'!$B$9:$K$119,5,FALSE)</f>
        <v>5490</v>
      </c>
      <c r="G85" s="9">
        <f>+VLOOKUP($B85,'MASTER PRICE LIST'!$B$9:$K$119,6,FALSE)</f>
        <v>4300</v>
      </c>
      <c r="H85" s="10">
        <f>+VLOOKUP($B85,'MASTER PRICE LIST'!$B$9:$K$119,7,FALSE)</f>
        <v>3800</v>
      </c>
      <c r="I85" s="3"/>
      <c r="J85" s="7"/>
    </row>
    <row r="86" spans="2:10" ht="18.75" customHeight="1" x14ac:dyDescent="0.2">
      <c r="B86" s="15" t="s">
        <v>44</v>
      </c>
      <c r="C86" s="25" t="str">
        <f>+VLOOKUP($B86,'CSM  PRICE LIST 26.1.3'!$A$2:$E$110,2,FALSE)</f>
        <v>RIDER</v>
      </c>
      <c r="D86" s="32" t="str">
        <f>+VLOOKUP($B86,'CSM  PRICE LIST 26.1.3'!$A$2:$E$110,3,FALSE)</f>
        <v>ERKEK UZUN KOL T-SHIRT</v>
      </c>
      <c r="E86" s="16">
        <f>+VLOOKUP($B86,'MASTER PRICE LIST'!$B$9:$K$119,4,FALSE)</f>
        <v>99.9</v>
      </c>
      <c r="F86" s="9">
        <f>+VLOOKUP($B86,'MASTER PRICE LIST'!$B$9:$K$119,5,FALSE)</f>
        <v>5490</v>
      </c>
      <c r="G86" s="9">
        <f>+VLOOKUP($B86,'MASTER PRICE LIST'!$B$9:$K$119,6,FALSE)</f>
        <v>4300</v>
      </c>
      <c r="H86" s="10">
        <f>+VLOOKUP($B86,'MASTER PRICE LIST'!$B$9:$K$119,7,FALSE)</f>
        <v>3800</v>
      </c>
      <c r="I86" s="3"/>
      <c r="J86" s="7"/>
    </row>
    <row r="87" spans="2:10" ht="18.75" customHeight="1" x14ac:dyDescent="0.2">
      <c r="B87" s="15" t="s">
        <v>113</v>
      </c>
      <c r="C87" s="25" t="str">
        <f>+VLOOKUP($B87,'CSM  PRICE LIST 26.1.3'!$A$2:$E$110,2,FALSE)</f>
        <v>RIDER</v>
      </c>
      <c r="D87" s="32" t="str">
        <f>+VLOOKUP($B87,'CSM  PRICE LIST 26.1.3'!$A$2:$E$110,3,FALSE)</f>
        <v>KADIN KISA KOL YARIŞMA POLO X TEAM TÜRKİYE</v>
      </c>
      <c r="E87" s="16">
        <f>+VLOOKUP($B87,'MASTER PRICE LIST'!$B$9:$K$119,4,FALSE)</f>
        <v>99.9</v>
      </c>
      <c r="F87" s="9">
        <f>+VLOOKUP($B87,'MASTER PRICE LIST'!$B$9:$K$119,5,FALSE)</f>
        <v>5490</v>
      </c>
      <c r="G87" s="9">
        <f>+VLOOKUP($B87,'MASTER PRICE LIST'!$B$9:$K$119,6,FALSE)</f>
        <v>4300</v>
      </c>
      <c r="H87" s="10">
        <f>+VLOOKUP($B87,'MASTER PRICE LIST'!$B$9:$K$119,7,FALSE)</f>
        <v>3800</v>
      </c>
      <c r="I87" s="3"/>
      <c r="J87" s="7"/>
    </row>
    <row r="88" spans="2:10" ht="18.75" customHeight="1" x14ac:dyDescent="0.2">
      <c r="B88" s="15" t="s">
        <v>114</v>
      </c>
      <c r="C88" s="25" t="str">
        <f>+VLOOKUP($B88,'CSM  PRICE LIST 26.1.3'!$A$2:$E$110,2,FALSE)</f>
        <v>RIDER</v>
      </c>
      <c r="D88" s="32" t="str">
        <f>+VLOOKUP($B88,'CSM  PRICE LIST 26.1.3'!$A$2:$E$110,3,FALSE)</f>
        <v>ERKEK KISA KOL YARIŞMA POLO X TEAM TÜRKİYE</v>
      </c>
      <c r="E88" s="16">
        <f>+VLOOKUP($B88,'MASTER PRICE LIST'!$B$9:$K$119,4,FALSE)</f>
        <v>99.9</v>
      </c>
      <c r="F88" s="9">
        <f>+VLOOKUP($B88,'MASTER PRICE LIST'!$B$9:$K$119,5,FALSE)</f>
        <v>5490</v>
      </c>
      <c r="G88" s="9">
        <f>+VLOOKUP($B88,'MASTER PRICE LIST'!$B$9:$K$119,6,FALSE)</f>
        <v>4300</v>
      </c>
      <c r="H88" s="10">
        <f>+VLOOKUP($B88,'MASTER PRICE LIST'!$B$9:$K$119,7,FALSE)</f>
        <v>3800</v>
      </c>
      <c r="I88" s="3"/>
      <c r="J88" s="7"/>
    </row>
    <row r="89" spans="2:10" ht="18.75" customHeight="1" x14ac:dyDescent="0.2">
      <c r="B89" s="15" t="s">
        <v>45</v>
      </c>
      <c r="C89" s="25" t="str">
        <f>+VLOOKUP($B89,'CSM  PRICE LIST 26.1.3'!$A$2:$E$110,2,FALSE)</f>
        <v>RIDER</v>
      </c>
      <c r="D89" s="32" t="str">
        <f>+VLOOKUP($B89,'CSM  PRICE LIST 26.1.3'!$A$2:$E$110,3,FALSE)</f>
        <v>ERKEK UZUN KOL FERMUARLI T-SHIRT</v>
      </c>
      <c r="E89" s="16">
        <f>+VLOOKUP($B89,'MASTER PRICE LIST'!$B$9:$K$119,4,FALSE)</f>
        <v>99.9</v>
      </c>
      <c r="F89" s="9">
        <f>+VLOOKUP($B89,'MASTER PRICE LIST'!$B$9:$K$119,5,FALSE)</f>
        <v>5490</v>
      </c>
      <c r="G89" s="9">
        <f>+VLOOKUP($B89,'MASTER PRICE LIST'!$B$9:$K$119,6,FALSE)</f>
        <v>4300</v>
      </c>
      <c r="H89" s="10">
        <f>+VLOOKUP($B89,'MASTER PRICE LIST'!$B$9:$K$119,7,FALSE)</f>
        <v>3800</v>
      </c>
      <c r="I89" s="3"/>
      <c r="J89" s="7"/>
    </row>
    <row r="90" spans="2:10" ht="18.75" customHeight="1" x14ac:dyDescent="0.2">
      <c r="B90" s="15" t="s">
        <v>67</v>
      </c>
      <c r="C90" s="25" t="str">
        <f>+VLOOKUP($B90,'CSM  PRICE LIST 26.1.3'!$A$2:$E$110,2,FALSE)</f>
        <v>RIDER</v>
      </c>
      <c r="D90" s="32" t="str">
        <f>+VLOOKUP($B90,'CSM  PRICE LIST 26.1.3'!$A$2:$E$110,3,FALSE)</f>
        <v>KIZ ÇOCUK FULL GRIP PRO BİNİCİ TAYTI</v>
      </c>
      <c r="E90" s="16">
        <f>+VLOOKUP($B90,'MASTER PRICE LIST'!$B$9:$K$119,4,FALSE)</f>
        <v>99.9</v>
      </c>
      <c r="F90" s="9">
        <f>+VLOOKUP($B90,'MASTER PRICE LIST'!$B$9:$K$119,5,FALSE)</f>
        <v>5490</v>
      </c>
      <c r="G90" s="9">
        <f>+VLOOKUP($B90,'MASTER PRICE LIST'!$B$9:$K$119,6,FALSE)</f>
        <v>4300</v>
      </c>
      <c r="H90" s="10">
        <f>+VLOOKUP($B90,'MASTER PRICE LIST'!$B$9:$K$119,7,FALSE)</f>
        <v>3800</v>
      </c>
      <c r="I90" s="3"/>
      <c r="J90" s="7"/>
    </row>
    <row r="91" spans="2:10" ht="18.75" customHeight="1" x14ac:dyDescent="0.2">
      <c r="B91" s="15" t="s">
        <v>35</v>
      </c>
      <c r="C91" s="25" t="str">
        <f>+VLOOKUP($B91,'CSM  PRICE LIST 26.1.3'!$A$2:$E$110,2,FALSE)</f>
        <v>RIDER</v>
      </c>
      <c r="D91" s="32" t="str">
        <f>+VLOOKUP($B91,'CSM  PRICE LIST 26.1.3'!$A$2:$E$110,3,FALSE)</f>
        <v>ERKEK SWEAT HIRKA</v>
      </c>
      <c r="E91" s="16">
        <f>+VLOOKUP($B91,'MASTER PRICE LIST'!$B$9:$K$119,4,FALSE)</f>
        <v>99.9</v>
      </c>
      <c r="F91" s="9">
        <f>+VLOOKUP($B91,'MASTER PRICE LIST'!$B$9:$K$119,5,FALSE)</f>
        <v>5490</v>
      </c>
      <c r="G91" s="9">
        <f>+VLOOKUP($B91,'MASTER PRICE LIST'!$B$9:$K$119,6,FALSE)</f>
        <v>4300</v>
      </c>
      <c r="H91" s="10">
        <f>+VLOOKUP($B91,'MASTER PRICE LIST'!$B$9:$K$119,7,FALSE)</f>
        <v>3800</v>
      </c>
      <c r="I91" s="3"/>
      <c r="J91" s="7"/>
    </row>
    <row r="92" spans="2:10" ht="18.75" customHeight="1" x14ac:dyDescent="0.2">
      <c r="B92" s="15" t="s">
        <v>46</v>
      </c>
      <c r="C92" s="25" t="str">
        <f>+VLOOKUP($B92,'CSM  PRICE LIST 26.1.3'!$A$2:$E$110,2,FALSE)</f>
        <v>RIDER</v>
      </c>
      <c r="D92" s="32" t="str">
        <f>+VLOOKUP($B92,'CSM  PRICE LIST 26.1.3'!$A$2:$E$110,3,FALSE)</f>
        <v>ERKEK UZUN KOL T-SHIRT</v>
      </c>
      <c r="E92" s="16">
        <f>+VLOOKUP($B92,'MASTER PRICE LIST'!$B$9:$K$119,4,FALSE)</f>
        <v>99.9</v>
      </c>
      <c r="F92" s="9">
        <f>+VLOOKUP($B92,'MASTER PRICE LIST'!$B$9:$K$119,5,FALSE)</f>
        <v>5490</v>
      </c>
      <c r="G92" s="9">
        <f>+VLOOKUP($B92,'MASTER PRICE LIST'!$B$9:$K$119,6,FALSE)</f>
        <v>4300</v>
      </c>
      <c r="H92" s="10">
        <f>+VLOOKUP($B92,'MASTER PRICE LIST'!$B$9:$K$119,7,FALSE)</f>
        <v>3800</v>
      </c>
      <c r="I92" s="3"/>
      <c r="J92" s="7"/>
    </row>
    <row r="93" spans="2:10" ht="18.75" customHeight="1" x14ac:dyDescent="0.2">
      <c r="B93" s="15" t="s">
        <v>54</v>
      </c>
      <c r="C93" s="25" t="str">
        <f>+VLOOKUP($B93,'CSM  PRICE LIST 26.1.3'!$A$2:$E$110,2,FALSE)</f>
        <v>RIDER</v>
      </c>
      <c r="D93" s="32" t="str">
        <f>+VLOOKUP($B93,'CSM  PRICE LIST 26.1.3'!$A$2:$E$110,3,FALSE)</f>
        <v>KADIN UZUN KOL YARIŞMA POLO</v>
      </c>
      <c r="E93" s="16">
        <f>+VLOOKUP($B93,'MASTER PRICE LIST'!$B$9:$K$119,4,FALSE)</f>
        <v>99.9</v>
      </c>
      <c r="F93" s="9">
        <f>+VLOOKUP($B93,'MASTER PRICE LIST'!$B$9:$K$119,5,FALSE)</f>
        <v>5490</v>
      </c>
      <c r="G93" s="9">
        <f>+VLOOKUP($B93,'MASTER PRICE LIST'!$B$9:$K$119,6,FALSE)</f>
        <v>4300</v>
      </c>
      <c r="H93" s="10">
        <f>+VLOOKUP($B93,'MASTER PRICE LIST'!$B$9:$K$119,7,FALSE)</f>
        <v>3800</v>
      </c>
      <c r="I93" s="81"/>
      <c r="J93" s="7"/>
    </row>
    <row r="94" spans="2:10" ht="18.75" customHeight="1" x14ac:dyDescent="0.2">
      <c r="B94" s="15" t="s">
        <v>47</v>
      </c>
      <c r="C94" s="25" t="str">
        <f>+VLOOKUP($B94,'CSM  PRICE LIST 26.1.3'!$A$2:$E$110,2,FALSE)</f>
        <v>RIDER</v>
      </c>
      <c r="D94" s="32" t="str">
        <f>+VLOOKUP($B94,'CSM  PRICE LIST 26.1.3'!$A$2:$E$110,3,FALSE)</f>
        <v>ERKEK UZUN KOL YARIŞMA POLO</v>
      </c>
      <c r="E94" s="16">
        <f>+VLOOKUP($B94,'MASTER PRICE LIST'!$B$9:$K$119,4,FALSE)</f>
        <v>99.9</v>
      </c>
      <c r="F94" s="9">
        <f>+VLOOKUP($B94,'MASTER PRICE LIST'!$B$9:$K$119,5,FALSE)</f>
        <v>5490</v>
      </c>
      <c r="G94" s="9">
        <f>+VLOOKUP($B94,'MASTER PRICE LIST'!$B$9:$K$119,6,FALSE)</f>
        <v>4300</v>
      </c>
      <c r="H94" s="10">
        <f>+VLOOKUP($B94,'MASTER PRICE LIST'!$B$9:$K$119,7,FALSE)</f>
        <v>3800</v>
      </c>
      <c r="I94" s="81"/>
      <c r="J94" s="7"/>
    </row>
    <row r="95" spans="2:10" ht="18.75" customHeight="1" x14ac:dyDescent="0.2">
      <c r="B95" s="15" t="s">
        <v>48</v>
      </c>
      <c r="C95" s="25" t="str">
        <f>+VLOOKUP($B95,'CSM  PRICE LIST 26.1.3'!$A$2:$E$110,2,FALSE)</f>
        <v>RIDER</v>
      </c>
      <c r="D95" s="32" t="str">
        <f>+VLOOKUP($B95,'CSM  PRICE LIST 26.1.3'!$A$2:$E$110,3,FALSE)</f>
        <v>ERKEK UZUN KOL YARIŞMA POLO</v>
      </c>
      <c r="E95" s="16">
        <f>+VLOOKUP($B95,'MASTER PRICE LIST'!$B$9:$K$119,4,FALSE)</f>
        <v>99.9</v>
      </c>
      <c r="F95" s="9">
        <f>+VLOOKUP($B95,'MASTER PRICE LIST'!$B$9:$K$119,5,FALSE)</f>
        <v>5490</v>
      </c>
      <c r="G95" s="9">
        <f>+VLOOKUP($B95,'MASTER PRICE LIST'!$B$9:$K$119,6,FALSE)</f>
        <v>4300</v>
      </c>
      <c r="H95" s="10">
        <f>+VLOOKUP($B95,'MASTER PRICE LIST'!$B$9:$K$119,7,FALSE)</f>
        <v>3800</v>
      </c>
      <c r="I95" s="81"/>
      <c r="J95" s="7"/>
    </row>
    <row r="96" spans="2:10" ht="18.75" customHeight="1" x14ac:dyDescent="0.2">
      <c r="B96" s="15" t="s">
        <v>83</v>
      </c>
      <c r="C96" s="25" t="str">
        <f>+VLOOKUP($B96,'CSM  PRICE LIST 26.1.3'!$A$2:$E$110,2,FALSE)</f>
        <v>RIDER</v>
      </c>
      <c r="D96" s="32" t="str">
        <f>+VLOOKUP($B96,'CSM  PRICE LIST 26.1.3'!$A$2:$E$110,3,FALSE)</f>
        <v>KADIN KISA KOL YARIŞMA POLO</v>
      </c>
      <c r="E96" s="16">
        <f>+VLOOKUP($B96,'MASTER PRICE LIST'!$B$9:$K$119,4,FALSE)</f>
        <v>99.9</v>
      </c>
      <c r="F96" s="9">
        <f>+VLOOKUP($B96,'MASTER PRICE LIST'!$B$9:$K$119,5,FALSE)</f>
        <v>5490</v>
      </c>
      <c r="G96" s="9">
        <f>+VLOOKUP($B96,'MASTER PRICE LIST'!$B$9:$K$119,6,FALSE)</f>
        <v>4300</v>
      </c>
      <c r="H96" s="10">
        <f>+VLOOKUP($B96,'MASTER PRICE LIST'!$B$9:$K$119,7,FALSE)</f>
        <v>3800</v>
      </c>
      <c r="I96" s="81"/>
      <c r="J96" s="7"/>
    </row>
    <row r="97" spans="1:10" ht="18.75" customHeight="1" x14ac:dyDescent="0.2">
      <c r="B97" s="15" t="s">
        <v>66</v>
      </c>
      <c r="C97" s="25" t="str">
        <f>+VLOOKUP($B97,'CSM  PRICE LIST 26.1.3'!$A$2:$E$110,2,FALSE)</f>
        <v>RIDER</v>
      </c>
      <c r="D97" s="32" t="str">
        <f>+VLOOKUP($B97,'CSM  PRICE LIST 26.1.3'!$A$2:$E$110,3,FALSE)</f>
        <v>KADIN FULL GRIP PRO BİNİCİ TAYTI</v>
      </c>
      <c r="E97" s="16">
        <f>+VLOOKUP($B97,'MASTER PRICE LIST'!$B$9:$K$119,4,FALSE)</f>
        <v>109.9</v>
      </c>
      <c r="F97" s="9">
        <f>+VLOOKUP($B97,'MASTER PRICE LIST'!$B$9:$K$119,5,FALSE)</f>
        <v>6040</v>
      </c>
      <c r="G97" s="9">
        <f>+VLOOKUP($B97,'MASTER PRICE LIST'!$B$9:$K$119,6,FALSE)</f>
        <v>4800</v>
      </c>
      <c r="H97" s="10">
        <f>+VLOOKUP($B97,'MASTER PRICE LIST'!$B$9:$K$119,7,FALSE)</f>
        <v>4200</v>
      </c>
      <c r="I97" s="81"/>
      <c r="J97" s="7"/>
    </row>
    <row r="98" spans="1:10" ht="18.75" customHeight="1" x14ac:dyDescent="0.2">
      <c r="B98" s="15" t="s">
        <v>138</v>
      </c>
      <c r="C98" s="25" t="str">
        <f>+VLOOKUP($B98,'CSM  PRICE LIST 26.1.3'!$A$2:$E$110,2,FALSE)</f>
        <v>RIDER</v>
      </c>
      <c r="D98" s="32" t="str">
        <f>+VLOOKUP($B98,'CSM  PRICE LIST 26.1.3'!$A$2:$E$110,3,FALSE)</f>
        <v>KADIN UZUN KOL YARIŞMA POLO X TEAM TÜRKİYE</v>
      </c>
      <c r="E98" s="16">
        <f>+VLOOKUP($B98,'MASTER PRICE LIST'!$B$9:$K$119,4,FALSE)</f>
        <v>109.9</v>
      </c>
      <c r="F98" s="9">
        <f>+VLOOKUP($B98,'MASTER PRICE LIST'!$B$9:$K$119,5,FALSE)</f>
        <v>6040</v>
      </c>
      <c r="G98" s="9">
        <f>+VLOOKUP($B98,'MASTER PRICE LIST'!$B$9:$K$119,6,FALSE)</f>
        <v>4800</v>
      </c>
      <c r="H98" s="10">
        <f>+VLOOKUP($B98,'MASTER PRICE LIST'!$B$9:$K$119,7,FALSE)</f>
        <v>4200</v>
      </c>
      <c r="I98" s="81"/>
      <c r="J98" s="7"/>
    </row>
    <row r="99" spans="1:10" s="24" customFormat="1" ht="15.75" x14ac:dyDescent="0.2">
      <c r="A99" s="6"/>
      <c r="B99" s="15" t="s">
        <v>139</v>
      </c>
      <c r="C99" s="25" t="str">
        <f>+VLOOKUP($B99,'CSM  PRICE LIST 26.1.3'!$A$2:$E$110,2,FALSE)</f>
        <v>RIDER</v>
      </c>
      <c r="D99" s="32" t="str">
        <f>+VLOOKUP($B99,'CSM  PRICE LIST 26.1.3'!$A$2:$E$110,3,FALSE)</f>
        <v>ERKEK UZUN KOL YARIŞMA POLO X TEAM TÜRKİYE</v>
      </c>
      <c r="E99" s="16">
        <f>+VLOOKUP($B99,'MASTER PRICE LIST'!$B$9:$K$119,4,FALSE)</f>
        <v>109.9</v>
      </c>
      <c r="F99" s="9">
        <f>+VLOOKUP($B99,'MASTER PRICE LIST'!$B$9:$K$119,5,FALSE)</f>
        <v>6040</v>
      </c>
      <c r="G99" s="9">
        <f>+VLOOKUP($B99,'MASTER PRICE LIST'!$B$9:$K$119,6,FALSE)</f>
        <v>4800</v>
      </c>
      <c r="H99" s="10">
        <f>+VLOOKUP($B99,'MASTER PRICE LIST'!$B$9:$K$119,7,FALSE)</f>
        <v>4200</v>
      </c>
      <c r="I99" s="81"/>
    </row>
    <row r="100" spans="1:10" s="3" customFormat="1" ht="15.75" x14ac:dyDescent="0.2">
      <c r="B100" s="15" t="s">
        <v>82</v>
      </c>
      <c r="C100" s="25" t="str">
        <f>+VLOOKUP($B100,'CSM  PRICE LIST 26.1.3'!$A$2:$E$110,2,FALSE)</f>
        <v>RIDER</v>
      </c>
      <c r="D100" s="32" t="str">
        <f>+VLOOKUP($B100,'CSM  PRICE LIST 26.1.3'!$A$2:$E$110,3,FALSE)</f>
        <v>STRASS TAŞ DETAYLI KADIN KISA KOL YARIŞMA POLO</v>
      </c>
      <c r="E100" s="16">
        <f>+VLOOKUP($B100,'MASTER PRICE LIST'!$B$9:$K$119,4,FALSE)</f>
        <v>109.9</v>
      </c>
      <c r="F100" s="9">
        <f>+VLOOKUP($B100,'MASTER PRICE LIST'!$B$9:$K$119,5,FALSE)</f>
        <v>6040</v>
      </c>
      <c r="G100" s="9">
        <f>+VLOOKUP($B100,'MASTER PRICE LIST'!$B$9:$K$119,6,FALSE)</f>
        <v>4800</v>
      </c>
      <c r="H100" s="10">
        <f>+VLOOKUP($B100,'MASTER PRICE LIST'!$B$9:$K$119,7,FALSE)</f>
        <v>4200</v>
      </c>
      <c r="I100" s="81"/>
    </row>
    <row r="101" spans="1:10" s="3" customFormat="1" ht="15.75" x14ac:dyDescent="0.2">
      <c r="B101" s="15" t="s">
        <v>51</v>
      </c>
      <c r="C101" s="25" t="str">
        <f>+VLOOKUP($B101,'CSM  PRICE LIST 26.1.3'!$A$2:$E$110,2,FALSE)</f>
        <v>RIDER</v>
      </c>
      <c r="D101" s="32" t="str">
        <f>+VLOOKUP($B101,'CSM  PRICE LIST 26.1.3'!$A$2:$E$110,3,FALSE)</f>
        <v>ERKEK UZUN KOL YARIŞMA GÖMLEĞİ - DÜĞMELİ YAKA</v>
      </c>
      <c r="E101" s="16">
        <f>+VLOOKUP($B101,'MASTER PRICE LIST'!$B$9:$K$119,4,FALSE)</f>
        <v>129.9</v>
      </c>
      <c r="F101" s="9">
        <f>+VLOOKUP($B101,'MASTER PRICE LIST'!$B$9:$K$119,5,FALSE)</f>
        <v>7140</v>
      </c>
      <c r="G101" s="9">
        <f>+VLOOKUP($B101,'MASTER PRICE LIST'!$B$9:$K$119,6,FALSE)</f>
        <v>5700</v>
      </c>
      <c r="H101" s="10">
        <f>+VLOOKUP($B101,'MASTER PRICE LIST'!$B$9:$K$119,7,FALSE)</f>
        <v>4900</v>
      </c>
      <c r="I101" s="81"/>
    </row>
    <row r="102" spans="1:10" s="3" customFormat="1" ht="15.75" x14ac:dyDescent="0.2">
      <c r="B102" s="15" t="s">
        <v>143</v>
      </c>
      <c r="C102" s="25" t="str">
        <f>+VLOOKUP($B102,'CSM  PRICE LIST 26.1.3'!$A$2:$E$110,2,FALSE)</f>
        <v>RIDER</v>
      </c>
      <c r="D102" s="32" t="str">
        <f>+VLOOKUP($B102,'CSM  PRICE LIST 26.1.3'!$A$2:$E$110,3,FALSE)</f>
        <v>KADIN UZUN KOL CASUAL GÖMLEK</v>
      </c>
      <c r="E102" s="16">
        <f>+VLOOKUP($B102,'MASTER PRICE LIST'!$B$9:$K$119,4,FALSE)</f>
        <v>129.9</v>
      </c>
      <c r="F102" s="9">
        <f>+VLOOKUP($B102,'MASTER PRICE LIST'!$B$9:$K$119,5,FALSE)</f>
        <v>7140</v>
      </c>
      <c r="G102" s="9">
        <f>+VLOOKUP($B102,'MASTER PRICE LIST'!$B$9:$K$119,6,FALSE)</f>
        <v>5700</v>
      </c>
      <c r="H102" s="10">
        <f>+VLOOKUP($B102,'MASTER PRICE LIST'!$B$9:$K$119,7,FALSE)</f>
        <v>4900</v>
      </c>
      <c r="I102" s="81"/>
    </row>
    <row r="103" spans="1:10" s="3" customFormat="1" ht="15.75" x14ac:dyDescent="0.2">
      <c r="B103" s="15" t="s">
        <v>56</v>
      </c>
      <c r="C103" s="25" t="str">
        <f>+VLOOKUP($B103,'CSM  PRICE LIST 26.1.3'!$A$2:$E$110,2,FALSE)</f>
        <v>RIDER</v>
      </c>
      <c r="D103" s="32" t="str">
        <f>+VLOOKUP($B103,'CSM  PRICE LIST 26.1.3'!$A$2:$E$110,3,FALSE)</f>
        <v>KADIN ÖN PANELLİ YARIŞMA GÖMLEĞİ</v>
      </c>
      <c r="E103" s="16">
        <f>+VLOOKUP($B103,'MASTER PRICE LIST'!$B$9:$K$119,4,FALSE)</f>
        <v>129.9</v>
      </c>
      <c r="F103" s="9">
        <f>+VLOOKUP($B103,'MASTER PRICE LIST'!$B$9:$K$119,5,FALSE)</f>
        <v>7140</v>
      </c>
      <c r="G103" s="9">
        <f>+VLOOKUP($B103,'MASTER PRICE LIST'!$B$9:$K$119,6,FALSE)</f>
        <v>5700</v>
      </c>
      <c r="H103" s="10">
        <f>+VLOOKUP($B103,'MASTER PRICE LIST'!$B$9:$K$119,7,FALSE)</f>
        <v>4900</v>
      </c>
      <c r="I103" s="81"/>
    </row>
    <row r="104" spans="1:10" s="3" customFormat="1" ht="15.75" x14ac:dyDescent="0.2">
      <c r="B104" s="15" t="s">
        <v>140</v>
      </c>
      <c r="C104" s="25" t="str">
        <f>+VLOOKUP($B104,'CSM  PRICE LIST 26.1.3'!$A$2:$E$110,2,FALSE)</f>
        <v>RIDER</v>
      </c>
      <c r="D104" s="32" t="str">
        <f>+VLOOKUP($B104,'CSM  PRICE LIST 26.1.3'!$A$2:$E$110,3,FALSE)</f>
        <v>ERKEK UZUN KOL YARIŞMA GÖMLEĞİ - AÇIK YAKA</v>
      </c>
      <c r="E104" s="16">
        <f>+VLOOKUP($B104,'MASTER PRICE LIST'!$B$9:$K$119,4,FALSE)</f>
        <v>129.9</v>
      </c>
      <c r="F104" s="9">
        <f>+VLOOKUP($B104,'MASTER PRICE LIST'!$B$9:$K$119,5,FALSE)</f>
        <v>7140</v>
      </c>
      <c r="G104" s="9">
        <f>+VLOOKUP($B104,'MASTER PRICE LIST'!$B$9:$K$119,6,FALSE)</f>
        <v>5700</v>
      </c>
      <c r="H104" s="10">
        <f>+VLOOKUP($B104,'MASTER PRICE LIST'!$B$9:$K$119,7,FALSE)</f>
        <v>4900</v>
      </c>
      <c r="I104" s="81"/>
    </row>
    <row r="105" spans="1:10" s="3" customFormat="1" ht="15.75" x14ac:dyDescent="0.2">
      <c r="B105" s="15" t="s">
        <v>151</v>
      </c>
      <c r="C105" s="25" t="str">
        <f>+VLOOKUP($B105,'CSM  PRICE LIST 26.1.3'!$A$2:$E$110,2,FALSE)</f>
        <v>RIDER</v>
      </c>
      <c r="D105" s="32" t="str">
        <f>+VLOOKUP($B105,'CSM  PRICE LIST 26.1.3'!$A$2:$E$110,3,FALSE)</f>
        <v>KADIN OVERSIZE CASUAL GÖMLEK</v>
      </c>
      <c r="E105" s="16">
        <f>+VLOOKUP($B105,'MASTER PRICE LIST'!$B$9:$K$119,4,FALSE)</f>
        <v>129.9</v>
      </c>
      <c r="F105" s="9">
        <f>+VLOOKUP($B105,'MASTER PRICE LIST'!$B$9:$K$119,5,FALSE)</f>
        <v>7140</v>
      </c>
      <c r="G105" s="9">
        <f>+VLOOKUP($B105,'MASTER PRICE LIST'!$B$9:$K$119,6,FALSE)</f>
        <v>5700</v>
      </c>
      <c r="H105" s="10">
        <f>+VLOOKUP($B105,'MASTER PRICE LIST'!$B$9:$K$119,7,FALSE)</f>
        <v>4900</v>
      </c>
      <c r="I105" s="81"/>
    </row>
    <row r="106" spans="1:10" s="3" customFormat="1" ht="15.75" x14ac:dyDescent="0.2">
      <c r="B106" s="15" t="s">
        <v>142</v>
      </c>
      <c r="C106" s="25" t="str">
        <f>+VLOOKUP($B106,'CSM  PRICE LIST 26.1.3'!$A$2:$E$110,2,FALSE)</f>
        <v>RIDER</v>
      </c>
      <c r="D106" s="32" t="str">
        <f>+VLOOKUP($B106,'CSM  PRICE LIST 26.1.3'!$A$2:$E$110,3,FALSE)</f>
        <v>ERKEK UZUN KOL YARIŞMA GÖMLEĞİ - AÇIK YAKA</v>
      </c>
      <c r="E106" s="16">
        <f>+VLOOKUP($B106,'MASTER PRICE LIST'!$B$9:$K$119,4,FALSE)</f>
        <v>129.9</v>
      </c>
      <c r="F106" s="9">
        <f>+VLOOKUP($B106,'MASTER PRICE LIST'!$B$9:$K$119,5,FALSE)</f>
        <v>7140</v>
      </c>
      <c r="G106" s="9">
        <f>+VLOOKUP($B106,'MASTER PRICE LIST'!$B$9:$K$119,6,FALSE)</f>
        <v>5700</v>
      </c>
      <c r="H106" s="10">
        <f>+VLOOKUP($B106,'MASTER PRICE LIST'!$B$9:$K$119,7,FALSE)</f>
        <v>4900</v>
      </c>
      <c r="I106" s="81"/>
    </row>
    <row r="107" spans="1:10" s="3" customFormat="1" ht="15.75" x14ac:dyDescent="0.2">
      <c r="B107" s="15" t="s">
        <v>65</v>
      </c>
      <c r="C107" s="25" t="str">
        <f>+VLOOKUP($B107,'CSM  PRICE LIST 26.1.3'!$A$2:$E$110,2,FALSE)</f>
        <v>RIDER</v>
      </c>
      <c r="D107" s="32" t="str">
        <f>+VLOOKUP($B107,'CSM  PRICE LIST 26.1.3'!$A$2:$E$110,3,FALSE)</f>
        <v>ÇOCUK UNISEX BİNİCİ PANTOLONU</v>
      </c>
      <c r="E107" s="16">
        <f>+VLOOKUP($B107,'MASTER PRICE LIST'!$B$9:$K$119,4,FALSE)</f>
        <v>159.9</v>
      </c>
      <c r="F107" s="9">
        <f>+VLOOKUP($B107,'MASTER PRICE LIST'!$B$9:$K$119,5,FALSE)</f>
        <v>8790</v>
      </c>
      <c r="G107" s="9">
        <f>+VLOOKUP($B107,'MASTER PRICE LIST'!$B$9:$K$119,6,FALSE)</f>
        <v>7000</v>
      </c>
      <c r="H107" s="10">
        <f>+VLOOKUP($B107,'MASTER PRICE LIST'!$B$9:$K$119,7,FALSE)</f>
        <v>6100</v>
      </c>
      <c r="I107" s="81"/>
    </row>
    <row r="108" spans="1:10" s="3" customFormat="1" ht="15.75" x14ac:dyDescent="0.2">
      <c r="B108" s="15" t="s">
        <v>148</v>
      </c>
      <c r="C108" s="25" t="str">
        <f>+VLOOKUP($B108,'CSM  PRICE LIST 26.1.3'!$A$2:$E$110,2,FALSE)</f>
        <v>RIDER</v>
      </c>
      <c r="D108" s="32" t="str">
        <f>+VLOOKUP($B108,'CSM  PRICE LIST 26.1.3'!$A$2:$E$110,3,FALSE)</f>
        <v>KIŞLIK ÇOCUK UNISEX BİNİCİ PANTOLONU</v>
      </c>
      <c r="E108" s="16">
        <f>+VLOOKUP($B108,'MASTER PRICE LIST'!$B$9:$K$119,4,FALSE)</f>
        <v>169.9</v>
      </c>
      <c r="F108" s="9">
        <f>+VLOOKUP($B108,'MASTER PRICE LIST'!$B$9:$K$119,5,FALSE)</f>
        <v>9340</v>
      </c>
      <c r="G108" s="9">
        <f>+VLOOKUP($B108,'MASTER PRICE LIST'!$B$9:$K$119,6,FALSE)</f>
        <v>7400</v>
      </c>
      <c r="H108" s="10">
        <f>+VLOOKUP($B108,'MASTER PRICE LIST'!$B$9:$K$119,7,FALSE)</f>
        <v>6500</v>
      </c>
      <c r="I108" s="81"/>
    </row>
    <row r="109" spans="1:10" s="3" customFormat="1" ht="15.75" x14ac:dyDescent="0.2">
      <c r="B109" s="15" t="s">
        <v>64</v>
      </c>
      <c r="C109" s="25" t="str">
        <f>+VLOOKUP($B109,'CSM  PRICE LIST 26.1.3'!$A$2:$E$110,2,FALSE)</f>
        <v>RIDER</v>
      </c>
      <c r="D109" s="32" t="str">
        <f>+VLOOKUP($B109,'CSM  PRICE LIST 26.1.3'!$A$2:$E$110,3,FALSE)</f>
        <v>KADIN PRO BİNİCİ PANTOLONU</v>
      </c>
      <c r="E109" s="16">
        <f>+VLOOKUP($B109,'MASTER PRICE LIST'!$B$9:$K$119,4,FALSE)</f>
        <v>219.9</v>
      </c>
      <c r="F109" s="9">
        <f>+VLOOKUP($B109,'MASTER PRICE LIST'!$B$9:$K$119,5,FALSE)</f>
        <v>12090</v>
      </c>
      <c r="G109" s="9">
        <f>+VLOOKUP($B109,'MASTER PRICE LIST'!$B$9:$K$119,6,FALSE)</f>
        <v>9600</v>
      </c>
      <c r="H109" s="10">
        <f>+VLOOKUP($B109,'MASTER PRICE LIST'!$B$9:$K$119,7,FALSE)</f>
        <v>8400</v>
      </c>
      <c r="I109" s="81"/>
    </row>
    <row r="110" spans="1:10" s="3" customFormat="1" ht="15.75" x14ac:dyDescent="0.2">
      <c r="B110" s="15" t="s">
        <v>149</v>
      </c>
      <c r="C110" s="25" t="str">
        <f>+VLOOKUP($B110,'CSM  PRICE LIST 26.1.3'!$A$2:$E$110,2,FALSE)</f>
        <v>RIDER</v>
      </c>
      <c r="D110" s="32" t="str">
        <f>+VLOOKUP($B110,'CSM  PRICE LIST 26.1.3'!$A$2:$E$110,3,FALSE)</f>
        <v>KIŞLIK KADIN PRO BİNİCİ PANTOLONU</v>
      </c>
      <c r="E110" s="16">
        <f>+VLOOKUP($B110,'MASTER PRICE LIST'!$B$9:$K$119,4,FALSE)</f>
        <v>229.9</v>
      </c>
      <c r="F110" s="9">
        <f>+VLOOKUP($B110,'MASTER PRICE LIST'!$B$9:$K$119,5,FALSE)</f>
        <v>12640</v>
      </c>
      <c r="G110" s="9">
        <f>+VLOOKUP($B110,'MASTER PRICE LIST'!$B$9:$K$119,6,FALSE)</f>
        <v>10100</v>
      </c>
      <c r="H110" s="10">
        <f>+VLOOKUP($B110,'MASTER PRICE LIST'!$B$9:$K$119,7,FALSE)</f>
        <v>8800</v>
      </c>
      <c r="I110" s="81"/>
    </row>
    <row r="111" spans="1:10" s="3" customFormat="1" ht="15.75" x14ac:dyDescent="0.2">
      <c r="B111" s="15" t="s">
        <v>63</v>
      </c>
      <c r="C111" s="25" t="str">
        <f>+VLOOKUP($B111,'CSM  PRICE LIST 26.1.3'!$A$2:$E$110,2,FALSE)</f>
        <v>RIDER</v>
      </c>
      <c r="D111" s="32" t="str">
        <f>+VLOOKUP($B111,'CSM  PRICE LIST 26.1.3'!$A$2:$E$110,3,FALSE)</f>
        <v>ERKEK PRO BİNİCİ PANTOLONU</v>
      </c>
      <c r="E111" s="16">
        <f>+VLOOKUP($B111,'MASTER PRICE LIST'!$B$9:$K$119,4,FALSE)</f>
        <v>219.9</v>
      </c>
      <c r="F111" s="9">
        <f>+VLOOKUP($B111,'MASTER PRICE LIST'!$B$9:$K$119,5,FALSE)</f>
        <v>12090</v>
      </c>
      <c r="G111" s="9">
        <f>+VLOOKUP($B111,'MASTER PRICE LIST'!$B$9:$K$119,6,FALSE)</f>
        <v>9600</v>
      </c>
      <c r="H111" s="10">
        <f>+VLOOKUP($B111,'MASTER PRICE LIST'!$B$9:$K$119,7,FALSE)</f>
        <v>8400</v>
      </c>
      <c r="I111" s="81"/>
    </row>
    <row r="112" spans="1:10" s="3" customFormat="1" ht="15.75" x14ac:dyDescent="0.2">
      <c r="B112" s="15" t="s">
        <v>150</v>
      </c>
      <c r="C112" s="25" t="str">
        <f>+VLOOKUP($B112,'CSM  PRICE LIST 26.1.3'!$A$2:$E$110,2,FALSE)</f>
        <v>RIDER</v>
      </c>
      <c r="D112" s="32" t="str">
        <f>+VLOOKUP($B112,'CSM  PRICE LIST 26.1.3'!$A$2:$E$110,3,FALSE)</f>
        <v>KIŞLIK ERKEK PRO BİNİCİ PANTOLONU</v>
      </c>
      <c r="E112" s="16">
        <f>+VLOOKUP($B112,'MASTER PRICE LIST'!$B$9:$K$119,4,FALSE)</f>
        <v>229.9</v>
      </c>
      <c r="F112" s="9">
        <f>+VLOOKUP($B112,'MASTER PRICE LIST'!$B$9:$K$119,5,FALSE)</f>
        <v>12640</v>
      </c>
      <c r="G112" s="9">
        <f>+VLOOKUP($B112,'MASTER PRICE LIST'!$B$9:$K$119,6,FALSE)</f>
        <v>10100</v>
      </c>
      <c r="H112" s="10">
        <f>+VLOOKUP($B112,'MASTER PRICE LIST'!$B$9:$K$119,7,FALSE)</f>
        <v>8800</v>
      </c>
      <c r="I112" s="81"/>
    </row>
    <row r="113" spans="1:9" s="3" customFormat="1" ht="15.75" x14ac:dyDescent="0.2">
      <c r="B113" s="15" t="s">
        <v>68</v>
      </c>
      <c r="C113" s="25" t="str">
        <f>+VLOOKUP($B113,'CSM  PRICE LIST 26.1.3'!$A$2:$E$110,2,FALSE)</f>
        <v>RIDER</v>
      </c>
      <c r="D113" s="32" t="str">
        <f>+VLOOKUP($B113,'CSM  PRICE LIST 26.1.3'!$A$2:$E$110,3,FALSE)</f>
        <v>ERKEK PRO YARIŞMA CEKETİ</v>
      </c>
      <c r="E113" s="16">
        <f>+VLOOKUP($B113,'MASTER PRICE LIST'!$B$9:$K$119,4,FALSE)</f>
        <v>449.9</v>
      </c>
      <c r="F113" s="9">
        <f>+VLOOKUP($B113,'MASTER PRICE LIST'!$B$9:$K$119,5,FALSE)</f>
        <v>24740</v>
      </c>
      <c r="G113" s="9">
        <f>+VLOOKUP($B113,'MASTER PRICE LIST'!$B$9:$K$119,6,FALSE)</f>
        <v>19700</v>
      </c>
      <c r="H113" s="10">
        <f>+VLOOKUP($B113,'MASTER PRICE LIST'!$B$9:$K$119,7,FALSE)</f>
        <v>17300</v>
      </c>
      <c r="I113" s="81"/>
    </row>
    <row r="114" spans="1:9" s="3" customFormat="1" ht="15.75" x14ac:dyDescent="0.2">
      <c r="B114" s="15" t="s">
        <v>69</v>
      </c>
      <c r="C114" s="25" t="str">
        <f>+VLOOKUP($B114,'CSM  PRICE LIST 26.1.3'!$A$2:$E$110,2,FALSE)</f>
        <v>RIDER</v>
      </c>
      <c r="D114" s="32" t="str">
        <f>+VLOOKUP($B114,'CSM  PRICE LIST 26.1.3'!$A$2:$E$110,3,FALSE)</f>
        <v>KADIN PRO YARIŞMA CEKETİ</v>
      </c>
      <c r="E114" s="16">
        <f>+VLOOKUP($B114,'MASTER PRICE LIST'!$B$9:$K$119,4,FALSE)</f>
        <v>449.9</v>
      </c>
      <c r="F114" s="9">
        <f>+VLOOKUP($B114,'MASTER PRICE LIST'!$B$9:$K$119,5,FALSE)</f>
        <v>24740</v>
      </c>
      <c r="G114" s="9">
        <f>+VLOOKUP($B114,'MASTER PRICE LIST'!$B$9:$K$119,6,FALSE)</f>
        <v>19700</v>
      </c>
      <c r="H114" s="10">
        <f>+VLOOKUP($B114,'MASTER PRICE LIST'!$B$9:$K$119,7,FALSE)</f>
        <v>17300</v>
      </c>
      <c r="I114" s="81"/>
    </row>
    <row r="115" spans="1:9" s="3" customFormat="1" ht="15.75" x14ac:dyDescent="0.2">
      <c r="B115" s="15" t="s">
        <v>112</v>
      </c>
      <c r="C115" s="25" t="str">
        <f>+VLOOKUP($B115,'CSM  PRICE LIST 26.1.3'!$A$2:$E$110,2,FALSE)</f>
        <v>RIDER</v>
      </c>
      <c r="D115" s="32" t="str">
        <f>+VLOOKUP($B115,'CSM  PRICE LIST 26.1.3'!$A$2:$E$110,3,FALSE)</f>
        <v>KADIN PRO YARIŞMA CEKETİ</v>
      </c>
      <c r="E115" s="16">
        <f>+VLOOKUP($B115,'MASTER PRICE LIST'!$B$9:$K$119,4,FALSE)</f>
        <v>449.9</v>
      </c>
      <c r="F115" s="9">
        <f>+VLOOKUP($B115,'MASTER PRICE LIST'!$B$9:$K$119,5,FALSE)</f>
        <v>24740</v>
      </c>
      <c r="G115" s="9">
        <f>+VLOOKUP($B115,'MASTER PRICE LIST'!$B$9:$K$119,6,FALSE)</f>
        <v>19700</v>
      </c>
      <c r="H115" s="10">
        <f>+VLOOKUP($B115,'MASTER PRICE LIST'!$B$9:$K$119,7,FALSE)</f>
        <v>17300</v>
      </c>
      <c r="I115" s="81"/>
    </row>
    <row r="116" spans="1:9" s="3" customFormat="1" ht="15.75" x14ac:dyDescent="0.2">
      <c r="B116" s="15" t="s">
        <v>110</v>
      </c>
      <c r="C116" s="25" t="str">
        <f>+VLOOKUP($B116,'CSM  PRICE LIST 26.1.3'!$A$2:$E$110,2,FALSE)</f>
        <v>RIDER</v>
      </c>
      <c r="D116" s="32" t="str">
        <f>+VLOOKUP($B116,'CSM  PRICE LIST 26.1.3'!$A$2:$E$110,3,FALSE)</f>
        <v>ERKEK PRO YARIŞMA CEKETİ X TEAM TÜRKİYE</v>
      </c>
      <c r="E116" s="16">
        <f>+VLOOKUP($B116,'MASTER PRICE LIST'!$B$9:$K$119,4,FALSE)</f>
        <v>499.9</v>
      </c>
      <c r="F116" s="9">
        <f>+VLOOKUP($B116,'MASTER PRICE LIST'!$B$9:$K$119,5,FALSE)</f>
        <v>27490</v>
      </c>
      <c r="G116" s="9">
        <f>+VLOOKUP($B116,'MASTER PRICE LIST'!$B$9:$K$119,6,FALSE)</f>
        <v>21900</v>
      </c>
      <c r="H116" s="10">
        <f>+VLOOKUP($B116,'MASTER PRICE LIST'!$B$9:$K$119,7,FALSE)</f>
        <v>19200</v>
      </c>
      <c r="I116" s="81"/>
    </row>
    <row r="117" spans="1:9" s="3" customFormat="1" ht="16.5" thickBot="1" x14ac:dyDescent="0.25">
      <c r="B117" s="35" t="s">
        <v>111</v>
      </c>
      <c r="C117" s="36" t="str">
        <f>+VLOOKUP($B117,'CSM  PRICE LIST 26.1.3'!$A$2:$E$110,2,FALSE)</f>
        <v>RIDER</v>
      </c>
      <c r="D117" s="37" t="str">
        <f>+VLOOKUP($B117,'CSM  PRICE LIST 26.1.3'!$A$2:$E$110,3,FALSE)</f>
        <v>KADIN PRO YARIŞMA CEKETİ X TEAM TÜRKİYE</v>
      </c>
      <c r="E117" s="38">
        <f>+VLOOKUP($B117,'MASTER PRICE LIST'!$B$9:$K$119,4,FALSE)</f>
        <v>499.9</v>
      </c>
      <c r="F117" s="39">
        <f>+VLOOKUP($B117,'MASTER PRICE LIST'!$B$9:$K$119,5,FALSE)</f>
        <v>27490</v>
      </c>
      <c r="G117" s="39">
        <f>+VLOOKUP($B117,'MASTER PRICE LIST'!$B$9:$K$119,6,FALSE)</f>
        <v>21900</v>
      </c>
      <c r="H117" s="40">
        <f>+VLOOKUP($B117,'MASTER PRICE LIST'!$B$9:$K$119,7,FALSE)</f>
        <v>19200</v>
      </c>
      <c r="I117" s="81"/>
    </row>
    <row r="118" spans="1:9" s="3" customFormat="1" ht="12.75" x14ac:dyDescent="0.2">
      <c r="D118" s="33"/>
    </row>
    <row r="119" spans="1:9" s="3" customFormat="1" ht="12.75" x14ac:dyDescent="0.2">
      <c r="D119" s="33"/>
    </row>
    <row r="120" spans="1:9" ht="12.75" x14ac:dyDescent="0.2">
      <c r="A120"/>
      <c r="B120"/>
      <c r="C120"/>
      <c r="E120"/>
    </row>
    <row r="121" spans="1:9" ht="12.75" x14ac:dyDescent="0.2">
      <c r="A121"/>
      <c r="B121"/>
      <c r="C121"/>
      <c r="E121"/>
    </row>
    <row r="122" spans="1:9" ht="12.75" x14ac:dyDescent="0.2">
      <c r="A122"/>
      <c r="B122"/>
      <c r="C122"/>
      <c r="E122"/>
    </row>
    <row r="123" spans="1:9" ht="12.75" x14ac:dyDescent="0.2">
      <c r="A123"/>
      <c r="B123"/>
      <c r="C123"/>
      <c r="E123"/>
    </row>
    <row r="124" spans="1:9" ht="12.75" x14ac:dyDescent="0.2">
      <c r="A124"/>
      <c r="B124"/>
      <c r="C124"/>
      <c r="E124"/>
    </row>
    <row r="125" spans="1:9" ht="12.75" x14ac:dyDescent="0.2">
      <c r="A125"/>
      <c r="B125"/>
      <c r="C125"/>
      <c r="E125"/>
    </row>
    <row r="126" spans="1:9" ht="12.75" x14ac:dyDescent="0.2">
      <c r="A126"/>
      <c r="B126"/>
      <c r="C126"/>
      <c r="E126"/>
    </row>
    <row r="127" spans="1:9" ht="12.75" x14ac:dyDescent="0.2">
      <c r="A127"/>
      <c r="B127"/>
      <c r="C127"/>
      <c r="E127"/>
    </row>
    <row r="128" spans="1:9" ht="12.75" x14ac:dyDescent="0.2">
      <c r="A128"/>
      <c r="B128"/>
      <c r="C128"/>
      <c r="E128"/>
    </row>
    <row r="129" spans="4:4" customFormat="1" ht="12.75" x14ac:dyDescent="0.2">
      <c r="D129" s="34"/>
    </row>
    <row r="130" spans="4:4" customFormat="1" ht="12.75" x14ac:dyDescent="0.2">
      <c r="D130" s="34"/>
    </row>
    <row r="131" spans="4:4" customFormat="1" ht="12.75" x14ac:dyDescent="0.2">
      <c r="D131" s="34"/>
    </row>
    <row r="132" spans="4:4" customFormat="1" ht="12.75" x14ac:dyDescent="0.2">
      <c r="D132" s="34"/>
    </row>
    <row r="133" spans="4:4" customFormat="1" ht="12.75" x14ac:dyDescent="0.2">
      <c r="D133" s="34"/>
    </row>
    <row r="134" spans="4:4" customFormat="1" ht="12.75" x14ac:dyDescent="0.2">
      <c r="D134" s="34"/>
    </row>
    <row r="135" spans="4:4" customFormat="1" ht="12.75" x14ac:dyDescent="0.2">
      <c r="D135" s="34"/>
    </row>
    <row r="136" spans="4:4" customFormat="1" ht="12.75" x14ac:dyDescent="0.2">
      <c r="D136" s="34"/>
    </row>
    <row r="137" spans="4:4" customFormat="1" ht="12.75" x14ac:dyDescent="0.2">
      <c r="D137" s="34"/>
    </row>
    <row r="138" spans="4:4" customFormat="1" ht="12.75" x14ac:dyDescent="0.2">
      <c r="D138" s="34"/>
    </row>
    <row r="139" spans="4:4" customFormat="1" ht="12.75" x14ac:dyDescent="0.2">
      <c r="D139" s="34"/>
    </row>
    <row r="140" spans="4:4" customFormat="1" ht="12.75" x14ac:dyDescent="0.2">
      <c r="D140" s="34"/>
    </row>
    <row r="141" spans="4:4" customFormat="1" ht="12.75" x14ac:dyDescent="0.2">
      <c r="D141" s="34"/>
    </row>
    <row r="142" spans="4:4" customFormat="1" ht="12.75" x14ac:dyDescent="0.2">
      <c r="D142" s="34"/>
    </row>
    <row r="143" spans="4:4" customFormat="1" ht="12.75" x14ac:dyDescent="0.2">
      <c r="D143" s="34"/>
    </row>
    <row r="144" spans="4:4" customFormat="1" ht="12.75" x14ac:dyDescent="0.2">
      <c r="D144" s="34"/>
    </row>
    <row r="145" spans="4:4" customFormat="1" ht="12.75" x14ac:dyDescent="0.2">
      <c r="D145" s="34"/>
    </row>
    <row r="146" spans="4:4" customFormat="1" ht="12.75" x14ac:dyDescent="0.2">
      <c r="D146" s="34"/>
    </row>
    <row r="147" spans="4:4" customFormat="1" ht="12.75" x14ac:dyDescent="0.2">
      <c r="D147" s="34"/>
    </row>
    <row r="148" spans="4:4" customFormat="1" ht="12.75" x14ac:dyDescent="0.2">
      <c r="D148" s="34"/>
    </row>
    <row r="149" spans="4:4" customFormat="1" ht="12.75" x14ac:dyDescent="0.2">
      <c r="D149" s="34"/>
    </row>
    <row r="150" spans="4:4" customFormat="1" ht="12.75" x14ac:dyDescent="0.2">
      <c r="D150" s="34"/>
    </row>
    <row r="151" spans="4:4" customFormat="1" ht="12.75" x14ac:dyDescent="0.2">
      <c r="D151" s="34"/>
    </row>
    <row r="152" spans="4:4" customFormat="1" ht="12.75" x14ac:dyDescent="0.2">
      <c r="D152" s="34"/>
    </row>
    <row r="153" spans="4:4" customFormat="1" ht="12.75" x14ac:dyDescent="0.2">
      <c r="D153" s="34"/>
    </row>
    <row r="154" spans="4:4" customFormat="1" ht="12.75" x14ac:dyDescent="0.2">
      <c r="D154" s="34"/>
    </row>
    <row r="155" spans="4:4" customFormat="1" ht="12.75" x14ac:dyDescent="0.2">
      <c r="D155" s="34"/>
    </row>
    <row r="156" spans="4:4" customFormat="1" ht="12.75" x14ac:dyDescent="0.2">
      <c r="D156" s="34"/>
    </row>
    <row r="157" spans="4:4" customFormat="1" ht="12.75" x14ac:dyDescent="0.2">
      <c r="D157" s="34"/>
    </row>
    <row r="158" spans="4:4" customFormat="1" ht="12.75" x14ac:dyDescent="0.2">
      <c r="D158" s="34"/>
    </row>
    <row r="159" spans="4:4" customFormat="1" ht="12.75" x14ac:dyDescent="0.2">
      <c r="D159" s="34"/>
    </row>
    <row r="160" spans="4:4" customFormat="1" ht="12.75" x14ac:dyDescent="0.2">
      <c r="D160" s="34"/>
    </row>
    <row r="161" spans="4:4" customFormat="1" ht="12.75" x14ac:dyDescent="0.2">
      <c r="D161" s="34"/>
    </row>
    <row r="162" spans="4:4" customFormat="1" ht="12.75" x14ac:dyDescent="0.2">
      <c r="D162" s="34"/>
    </row>
    <row r="163" spans="4:4" customFormat="1" ht="12.75" x14ac:dyDescent="0.2">
      <c r="D163" s="34"/>
    </row>
    <row r="164" spans="4:4" customFormat="1" ht="12.75" x14ac:dyDescent="0.2">
      <c r="D164" s="34"/>
    </row>
    <row r="165" spans="4:4" customFormat="1" ht="12.75" x14ac:dyDescent="0.2">
      <c r="D165" s="34"/>
    </row>
    <row r="166" spans="4:4" customFormat="1" ht="12.75" x14ac:dyDescent="0.2">
      <c r="D166" s="34"/>
    </row>
    <row r="167" spans="4:4" customFormat="1" ht="12.75" x14ac:dyDescent="0.2">
      <c r="D167" s="34"/>
    </row>
    <row r="168" spans="4:4" customFormat="1" ht="12.75" x14ac:dyDescent="0.2">
      <c r="D168" s="34"/>
    </row>
    <row r="169" spans="4:4" customFormat="1" ht="12.75" x14ac:dyDescent="0.2">
      <c r="D169" s="34"/>
    </row>
    <row r="170" spans="4:4" customFormat="1" ht="12.75" x14ac:dyDescent="0.2">
      <c r="D170" s="34"/>
    </row>
    <row r="171" spans="4:4" customFormat="1" ht="12.75" x14ac:dyDescent="0.2">
      <c r="D171" s="34"/>
    </row>
    <row r="172" spans="4:4" customFormat="1" ht="12.75" x14ac:dyDescent="0.2">
      <c r="D172" s="34"/>
    </row>
    <row r="173" spans="4:4" customFormat="1" ht="12.75" x14ac:dyDescent="0.2">
      <c r="D173" s="34"/>
    </row>
    <row r="174" spans="4:4" customFormat="1" ht="12.75" x14ac:dyDescent="0.2">
      <c r="D174" s="34"/>
    </row>
    <row r="175" spans="4:4" customFormat="1" ht="12.75" x14ac:dyDescent="0.2">
      <c r="D175" s="34"/>
    </row>
    <row r="176" spans="4:4" customFormat="1" ht="12.75" x14ac:dyDescent="0.2">
      <c r="D176" s="34"/>
    </row>
    <row r="177" spans="4:4" customFormat="1" ht="12.75" x14ac:dyDescent="0.2">
      <c r="D177" s="34"/>
    </row>
    <row r="178" spans="4:4" customFormat="1" ht="12.75" x14ac:dyDescent="0.2">
      <c r="D178" s="34"/>
    </row>
    <row r="179" spans="4:4" customFormat="1" ht="12.75" x14ac:dyDescent="0.2">
      <c r="D179" s="34"/>
    </row>
    <row r="180" spans="4:4" customFormat="1" ht="12.75" x14ac:dyDescent="0.2">
      <c r="D180" s="34"/>
    </row>
    <row r="181" spans="4:4" customFormat="1" ht="12.75" x14ac:dyDescent="0.2">
      <c r="D181" s="34"/>
    </row>
    <row r="182" spans="4:4" customFormat="1" ht="12.75" x14ac:dyDescent="0.2">
      <c r="D182" s="34"/>
    </row>
    <row r="183" spans="4:4" customFormat="1" ht="12.75" x14ac:dyDescent="0.2">
      <c r="D183" s="34"/>
    </row>
    <row r="184" spans="4:4" customFormat="1" ht="12.75" x14ac:dyDescent="0.2">
      <c r="D184" s="34"/>
    </row>
    <row r="185" spans="4:4" customFormat="1" ht="12.75" x14ac:dyDescent="0.2">
      <c r="D185" s="34"/>
    </row>
    <row r="186" spans="4:4" customFormat="1" ht="12.75" x14ac:dyDescent="0.2">
      <c r="D186" s="34"/>
    </row>
    <row r="187" spans="4:4" customFormat="1" ht="12.75" x14ac:dyDescent="0.2">
      <c r="D187" s="34"/>
    </row>
    <row r="188" spans="4:4" customFormat="1" ht="12.75" x14ac:dyDescent="0.2">
      <c r="D188" s="34"/>
    </row>
    <row r="189" spans="4:4" customFormat="1" ht="12.75" x14ac:dyDescent="0.2">
      <c r="D189" s="34"/>
    </row>
    <row r="190" spans="4:4" customFormat="1" ht="12.75" x14ac:dyDescent="0.2">
      <c r="D190" s="34"/>
    </row>
    <row r="191" spans="4:4" customFormat="1" ht="12.75" x14ac:dyDescent="0.2">
      <c r="D191" s="34"/>
    </row>
    <row r="192" spans="4:4" customFormat="1" ht="12.75" x14ac:dyDescent="0.2">
      <c r="D192" s="34"/>
    </row>
    <row r="193" spans="4:4" customFormat="1" ht="12.75" x14ac:dyDescent="0.2">
      <c r="D193" s="34"/>
    </row>
    <row r="194" spans="4:4" customFormat="1" ht="12.75" x14ac:dyDescent="0.2">
      <c r="D194" s="34"/>
    </row>
    <row r="195" spans="4:4" customFormat="1" ht="12.75" x14ac:dyDescent="0.2">
      <c r="D195" s="34"/>
    </row>
    <row r="196" spans="4:4" customFormat="1" ht="12.75" x14ac:dyDescent="0.2">
      <c r="D196" s="34"/>
    </row>
    <row r="197" spans="4:4" customFormat="1" ht="12.75" x14ac:dyDescent="0.2">
      <c r="D197" s="34"/>
    </row>
    <row r="198" spans="4:4" customFormat="1" ht="12.75" x14ac:dyDescent="0.2">
      <c r="D198" s="34"/>
    </row>
    <row r="199" spans="4:4" customFormat="1" ht="12.75" x14ac:dyDescent="0.2">
      <c r="D199" s="34"/>
    </row>
    <row r="200" spans="4:4" customFormat="1" ht="12.75" x14ac:dyDescent="0.2">
      <c r="D200" s="34"/>
    </row>
    <row r="201" spans="4:4" customFormat="1" ht="12.75" x14ac:dyDescent="0.2">
      <c r="D201" s="34"/>
    </row>
    <row r="202" spans="4:4" customFormat="1" ht="12.75" x14ac:dyDescent="0.2">
      <c r="D202" s="34"/>
    </row>
    <row r="203" spans="4:4" customFormat="1" ht="12.75" x14ac:dyDescent="0.2">
      <c r="D203" s="34"/>
    </row>
    <row r="204" spans="4:4" customFormat="1" ht="12.75" x14ac:dyDescent="0.2">
      <c r="D204" s="34"/>
    </row>
    <row r="205" spans="4:4" customFormat="1" ht="12.75" x14ac:dyDescent="0.2">
      <c r="D205" s="34"/>
    </row>
    <row r="206" spans="4:4" customFormat="1" ht="12.75" x14ac:dyDescent="0.2">
      <c r="D206" s="34"/>
    </row>
    <row r="207" spans="4:4" customFormat="1" ht="12.75" x14ac:dyDescent="0.2">
      <c r="D207" s="34"/>
    </row>
    <row r="208" spans="4:4" customFormat="1" ht="12.75" x14ac:dyDescent="0.2">
      <c r="D208" s="34"/>
    </row>
    <row r="209" spans="1:5" ht="12.75" x14ac:dyDescent="0.2">
      <c r="A209"/>
      <c r="B209"/>
      <c r="C209"/>
      <c r="E209"/>
    </row>
    <row r="210" spans="1:5" ht="12.75" x14ac:dyDescent="0.2">
      <c r="A210"/>
      <c r="B210"/>
      <c r="C210"/>
      <c r="E210"/>
    </row>
    <row r="211" spans="1:5" ht="12.75" x14ac:dyDescent="0.2">
      <c r="A211"/>
      <c r="B211"/>
      <c r="C211"/>
      <c r="E211"/>
    </row>
    <row r="212" spans="1:5" ht="12.75" x14ac:dyDescent="0.2">
      <c r="A212"/>
      <c r="B212"/>
      <c r="C212"/>
      <c r="E212"/>
    </row>
    <row r="213" spans="1:5" ht="12.75" x14ac:dyDescent="0.2"/>
    <row r="214" spans="1:5" ht="12.75" x14ac:dyDescent="0.2"/>
    <row r="215" spans="1:5" ht="12.75" x14ac:dyDescent="0.2"/>
    <row r="216" spans="1:5" ht="12.75" x14ac:dyDescent="0.2"/>
    <row r="217" spans="1:5" ht="12.75" x14ac:dyDescent="0.2"/>
    <row r="218" spans="1:5" ht="12.75" x14ac:dyDescent="0.2"/>
    <row r="219" spans="1:5" ht="12.75" x14ac:dyDescent="0.2"/>
    <row r="220" spans="1:5" ht="12.75" x14ac:dyDescent="0.2"/>
  </sheetData>
  <autoFilter ref="B9:XFA117"/>
  <sortState ref="B11:H117">
    <sortCondition ref="C11:C117"/>
    <sortCondition ref="E11:E117"/>
    <sortCondition ref="B11:B117"/>
  </sortState>
  <mergeCells count="1">
    <mergeCell ref="B2:H7"/>
  </mergeCells>
  <conditionalFormatting sqref="A213:A1048576 A1:A99">
    <cfRule type="duplicateValues" dxfId="20" priority="8"/>
  </conditionalFormatting>
  <conditionalFormatting sqref="B9:B92 B97:B106 B113:B117">
    <cfRule type="duplicateValues" dxfId="19" priority="250"/>
  </conditionalFormatting>
  <conditionalFormatting sqref="B24:B25">
    <cfRule type="duplicateValues" dxfId="18" priority="5"/>
  </conditionalFormatting>
  <conditionalFormatting sqref="B26:B92 B9:B23 B97:B106 B113:B117">
    <cfRule type="duplicateValues" dxfId="17" priority="9"/>
  </conditionalFormatting>
  <conditionalFormatting sqref="B93:B96">
    <cfRule type="duplicateValues" dxfId="16" priority="3"/>
    <cfRule type="duplicateValues" dxfId="15" priority="4"/>
  </conditionalFormatting>
  <conditionalFormatting sqref="B107:B112">
    <cfRule type="duplicateValues" dxfId="14" priority="1"/>
    <cfRule type="duplicateValues" dxfId="13" priority="2"/>
  </conditionalFormatting>
  <conditionalFormatting sqref="C8:C10">
    <cfRule type="duplicateValues" dxfId="12" priority="6"/>
  </conditionalFormatting>
  <conditionalFormatting sqref="C9:C10">
    <cfRule type="duplicateValues" dxfId="11" priority="7"/>
  </conditionalFormatting>
  <printOptions horizontalCentered="1"/>
  <pageMargins left="0.25" right="0.25" top="0.75" bottom="0.75" header="0.3" footer="0.3"/>
  <pageSetup paperSize="9" scale="52" orientation="portrait" verticalDpi="4294967293" r:id="rId1"/>
  <rowBreaks count="1" manualBreakCount="1">
    <brk id="48" min="1"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20"/>
  <sheetViews>
    <sheetView showZeros="0" zoomScaleNormal="100" workbookViewId="0">
      <pane ySplit="9" topLeftCell="A63" activePane="bottomLeft" state="frozen"/>
      <selection pane="bottomLeft" activeCell="D75" sqref="D75"/>
    </sheetView>
  </sheetViews>
  <sheetFormatPr defaultColWidth="0" defaultRowHeight="0" customHeight="1" zeroHeight="1" x14ac:dyDescent="0.2"/>
  <cols>
    <col min="1" max="1" width="2.7109375" style="6" customWidth="1"/>
    <col min="2" max="2" width="24.42578125" style="8" customWidth="1"/>
    <col min="3" max="3" width="14.7109375" style="5" bestFit="1" customWidth="1"/>
    <col min="4" max="4" width="45.140625" style="34" bestFit="1" customWidth="1"/>
    <col min="5" max="5" width="11.28515625" style="11" bestFit="1" customWidth="1"/>
    <col min="6" max="6" width="18" customWidth="1"/>
    <col min="7" max="7" width="21.42578125" customWidth="1"/>
    <col min="8" max="8" width="12.85546875" hidden="1" customWidth="1"/>
    <col min="9" max="22" width="0" hidden="1" customWidth="1"/>
    <col min="23" max="16384" width="9.140625" hidden="1"/>
  </cols>
  <sheetData>
    <row r="1" spans="1:9" ht="9" customHeight="1" thickBot="1" x14ac:dyDescent="0.3">
      <c r="B1" s="1"/>
      <c r="C1" s="4"/>
      <c r="D1" s="29"/>
      <c r="E1" s="2"/>
      <c r="F1" s="2"/>
      <c r="G1" s="2"/>
      <c r="H1" s="3"/>
    </row>
    <row r="2" spans="1:9" ht="15.75" customHeight="1" x14ac:dyDescent="0.2">
      <c r="B2" s="95" t="s">
        <v>117</v>
      </c>
      <c r="C2" s="96"/>
      <c r="D2" s="96"/>
      <c r="E2" s="96"/>
      <c r="F2" s="96"/>
      <c r="G2" s="97"/>
      <c r="H2" s="3"/>
    </row>
    <row r="3" spans="1:9" ht="15.75" customHeight="1" x14ac:dyDescent="0.2">
      <c r="B3" s="98"/>
      <c r="C3" s="99"/>
      <c r="D3" s="99"/>
      <c r="E3" s="99"/>
      <c r="F3" s="99"/>
      <c r="G3" s="100"/>
      <c r="H3" s="3"/>
    </row>
    <row r="4" spans="1:9" ht="15.75" customHeight="1" x14ac:dyDescent="0.2">
      <c r="B4" s="98"/>
      <c r="C4" s="99"/>
      <c r="D4" s="99"/>
      <c r="E4" s="99"/>
      <c r="F4" s="99"/>
      <c r="G4" s="100"/>
      <c r="H4" s="3"/>
    </row>
    <row r="5" spans="1:9" ht="15.75" customHeight="1" x14ac:dyDescent="0.2">
      <c r="B5" s="98"/>
      <c r="C5" s="99"/>
      <c r="D5" s="99"/>
      <c r="E5" s="99"/>
      <c r="F5" s="99"/>
      <c r="G5" s="100"/>
      <c r="H5" s="3"/>
    </row>
    <row r="6" spans="1:9" ht="15.75" customHeight="1" x14ac:dyDescent="0.2">
      <c r="B6" s="98"/>
      <c r="C6" s="99"/>
      <c r="D6" s="99"/>
      <c r="E6" s="99"/>
      <c r="F6" s="99"/>
      <c r="G6" s="100"/>
      <c r="H6" s="3"/>
    </row>
    <row r="7" spans="1:9" ht="15.75" customHeight="1" x14ac:dyDescent="0.2">
      <c r="B7" s="98"/>
      <c r="C7" s="99"/>
      <c r="D7" s="99"/>
      <c r="E7" s="99"/>
      <c r="F7" s="99"/>
      <c r="G7" s="100"/>
      <c r="H7" s="3"/>
    </row>
    <row r="8" spans="1:9" s="34" customFormat="1" ht="12.75" x14ac:dyDescent="0.2">
      <c r="A8" s="41"/>
      <c r="B8" s="50"/>
      <c r="C8" s="30" t="str">
        <f>+'CSM  PRICE LIST 26.1.3'!B1</f>
        <v>v.26.1.3</v>
      </c>
      <c r="D8" s="30" t="str">
        <f>+'CSM  PRICE LIST 26.1.3'!C1</f>
        <v>Valid Through:    01.01.26 - 31.06.26</v>
      </c>
      <c r="E8" s="51">
        <v>4</v>
      </c>
      <c r="F8" s="51">
        <v>5</v>
      </c>
      <c r="G8" s="53"/>
      <c r="H8" s="3"/>
    </row>
    <row r="9" spans="1:9" s="43" customFormat="1" ht="36" x14ac:dyDescent="0.2">
      <c r="A9" s="41"/>
      <c r="B9" s="42" t="s">
        <v>85</v>
      </c>
      <c r="C9" s="31" t="s">
        <v>86</v>
      </c>
      <c r="D9" s="31" t="s">
        <v>59</v>
      </c>
      <c r="E9" s="31" t="s">
        <v>72</v>
      </c>
      <c r="F9" s="26" t="s">
        <v>87</v>
      </c>
      <c r="G9" s="28" t="s">
        <v>119</v>
      </c>
      <c r="H9" s="79" t="s">
        <v>123</v>
      </c>
    </row>
    <row r="10" spans="1:9" s="48" customFormat="1" ht="11.25" x14ac:dyDescent="0.2">
      <c r="A10" s="6"/>
      <c r="B10" s="44" t="s">
        <v>115</v>
      </c>
      <c r="C10" s="45" t="s">
        <v>71</v>
      </c>
      <c r="D10" s="45" t="s">
        <v>116</v>
      </c>
      <c r="E10" s="45" t="s">
        <v>101</v>
      </c>
      <c r="F10" s="46" t="s">
        <v>121</v>
      </c>
      <c r="G10" s="78" t="s">
        <v>120</v>
      </c>
      <c r="H10" s="80" t="s">
        <v>136</v>
      </c>
    </row>
    <row r="11" spans="1:9" ht="15.6" customHeight="1" x14ac:dyDescent="0.2">
      <c r="B11" s="15" t="s">
        <v>27</v>
      </c>
      <c r="C11" s="25" t="str">
        <f>+VLOOKUP($B11,'CSM  PRICE LIST 26.1.3'!$A$2:$E$110,2,FALSE)</f>
        <v>ACCESSORIES</v>
      </c>
      <c r="D11" s="32" t="str">
        <f>+VLOOKUP($B11,'CSM  PRICE LIST 26.1.3'!$A$2:$E$110,3,FALSE)</f>
        <v>ANAHTARLIK</v>
      </c>
      <c r="E11" s="16">
        <f>+VLOOKUP($B11,'MASTER PRICE LIST'!$B$9:$K$117,4,FALSE)</f>
        <v>12.9</v>
      </c>
      <c r="F11" s="9">
        <f>+VLOOKUP($B11,'MASTER PRICE LIST'!$B$9:$K$117,5,FALSE)</f>
        <v>700</v>
      </c>
      <c r="G11" s="10">
        <f t="shared" ref="G11:G42" si="0">+F11*0.5</f>
        <v>350</v>
      </c>
      <c r="H11" s="81" t="e">
        <f>+VLOOKUP($B11,'CSM  PRICE LIST 26.1.3'!$A:$G,8,FALSE)</f>
        <v>#REF!</v>
      </c>
    </row>
    <row r="12" spans="1:9" ht="18.75" customHeight="1" x14ac:dyDescent="0.2">
      <c r="B12" s="15" t="s">
        <v>16</v>
      </c>
      <c r="C12" s="25" t="str">
        <f>+VLOOKUP($B12,'CSM  PRICE LIST 26.1.3'!$A$2:$E$110,2,FALSE)</f>
        <v>ACCESSORIES</v>
      </c>
      <c r="D12" s="32" t="str">
        <f>+VLOOKUP($B12,'CSM  PRICE LIST 26.1.3'!$A$2:$E$110,3,FALSE)</f>
        <v>İSİM KÜNYESİ</v>
      </c>
      <c r="E12" s="16">
        <f>+VLOOKUP($B12,'MASTER PRICE LIST'!$B$9:$K$117,4,FALSE)</f>
        <v>12.9</v>
      </c>
      <c r="F12" s="9">
        <f>+VLOOKUP($B12,'MASTER PRICE LIST'!$B$9:$K$117,5,FALSE)</f>
        <v>700</v>
      </c>
      <c r="G12" s="10">
        <f t="shared" si="0"/>
        <v>350</v>
      </c>
      <c r="H12" s="81" t="e">
        <f>+VLOOKUP($B12,'CSM  PRICE LIST 26.1.3'!$A:$G,8,FALSE)</f>
        <v>#REF!</v>
      </c>
      <c r="I12" s="7"/>
    </row>
    <row r="13" spans="1:9" ht="18.75" customHeight="1" x14ac:dyDescent="0.2">
      <c r="B13" s="15" t="s">
        <v>146</v>
      </c>
      <c r="C13" s="25" t="str">
        <f>+VLOOKUP($B13,'CSM  PRICE LIST 26.1.3'!$A$2:$E$110,2,FALSE)</f>
        <v>ACCESSORIES</v>
      </c>
      <c r="D13" s="32" t="str">
        <f>+VLOOKUP($B13,'CSM  PRICE LIST 26.1.3'!$A$2:$E$110,3,FALSE)</f>
        <v>BANDANA</v>
      </c>
      <c r="E13" s="16">
        <f>+VLOOKUP($B13,'MASTER PRICE LIST'!$B$9:$K$117,4,FALSE)</f>
        <v>12.9</v>
      </c>
      <c r="F13" s="9">
        <f>+VLOOKUP($B13,'MASTER PRICE LIST'!$B$9:$K$117,5,FALSE)</f>
        <v>700</v>
      </c>
      <c r="G13" s="10">
        <f t="shared" si="0"/>
        <v>350</v>
      </c>
      <c r="H13" s="81"/>
      <c r="I13" s="7"/>
    </row>
    <row r="14" spans="1:9" ht="18.75" customHeight="1" x14ac:dyDescent="0.2">
      <c r="B14" s="15" t="s">
        <v>20</v>
      </c>
      <c r="C14" s="25" t="str">
        <f>+VLOOKUP($B14,'CSM  PRICE LIST 26.1.3'!$A$2:$E$110,2,FALSE)</f>
        <v>ACCESSORIES</v>
      </c>
      <c r="D14" s="32" t="str">
        <f>+VLOOKUP($B14,'CSM  PRICE LIST 26.1.3'!$A$2:$E$110,3,FALSE)</f>
        <v>KEP ŞAPKA</v>
      </c>
      <c r="E14" s="16">
        <f>+VLOOKUP($B14,'MASTER PRICE LIST'!$B$9:$K$117,4,FALSE)</f>
        <v>29.9</v>
      </c>
      <c r="F14" s="9">
        <f>+VLOOKUP($B14,'MASTER PRICE LIST'!$B$9:$K$117,5,FALSE)</f>
        <v>1640</v>
      </c>
      <c r="G14" s="10">
        <f t="shared" si="0"/>
        <v>820</v>
      </c>
      <c r="H14" s="81" t="e">
        <f>+VLOOKUP($B14,'CSM  PRICE LIST 26.1.3'!$A:$G,8,FALSE)</f>
        <v>#REF!</v>
      </c>
      <c r="I14" s="7"/>
    </row>
    <row r="15" spans="1:9" ht="18.75" customHeight="1" x14ac:dyDescent="0.2">
      <c r="B15" s="15" t="s">
        <v>18</v>
      </c>
      <c r="C15" s="25" t="str">
        <f>+VLOOKUP($B15,'CSM  PRICE LIST 26.1.3'!$A$2:$E$110,2,FALSE)</f>
        <v>ACCESSORIES</v>
      </c>
      <c r="D15" s="32" t="str">
        <f>+VLOOKUP($B15,'CSM  PRICE LIST 26.1.3'!$A$2:$E$110,3,FALSE)</f>
        <v>BERE ŞAPKA</v>
      </c>
      <c r="E15" s="16">
        <f>+VLOOKUP($B15,'MASTER PRICE LIST'!$B$9:$K$117,4,FALSE)</f>
        <v>29.9</v>
      </c>
      <c r="F15" s="9">
        <f>+VLOOKUP($B15,'MASTER PRICE LIST'!$B$9:$K$117,5,FALSE)</f>
        <v>1640</v>
      </c>
      <c r="G15" s="10">
        <f t="shared" si="0"/>
        <v>820</v>
      </c>
      <c r="H15" s="81" t="e">
        <f>+VLOOKUP($B15,'CSM  PRICE LIST 26.1.3'!$A:$G,8,FALSE)</f>
        <v>#REF!</v>
      </c>
      <c r="I15" s="7"/>
    </row>
    <row r="16" spans="1:9" ht="18.75" customHeight="1" x14ac:dyDescent="0.2">
      <c r="B16" s="15" t="s">
        <v>21</v>
      </c>
      <c r="C16" s="25" t="str">
        <f>+VLOOKUP($B16,'CSM  PRICE LIST 26.1.3'!$A$2:$E$110,2,FALSE)</f>
        <v>ACCESSORIES</v>
      </c>
      <c r="D16" s="32" t="str">
        <f>+VLOOKUP($B16,'CSM  PRICE LIST 26.1.3'!$A$2:$E$110,3,FALSE)</f>
        <v>YAZLIK BİNİCİ ÇORABI
3'LÜ PAKET</v>
      </c>
      <c r="E16" s="16">
        <f>+VLOOKUP($B16,'MASTER PRICE LIST'!$B$9:$K$117,4,FALSE)</f>
        <v>34.9</v>
      </c>
      <c r="F16" s="9">
        <f>+VLOOKUP($B16,'MASTER PRICE LIST'!$B$9:$K$117,5,FALSE)</f>
        <v>1910</v>
      </c>
      <c r="G16" s="10">
        <f t="shared" si="0"/>
        <v>955</v>
      </c>
      <c r="H16" s="81" t="e">
        <f>+VLOOKUP($B16,'CSM  PRICE LIST 26.1.3'!$A:$G,8,FALSE)</f>
        <v>#REF!</v>
      </c>
      <c r="I16" s="7"/>
    </row>
    <row r="17" spans="2:9" ht="18.75" customHeight="1" x14ac:dyDescent="0.2">
      <c r="B17" s="15" t="s">
        <v>22</v>
      </c>
      <c r="C17" s="25" t="str">
        <f>+VLOOKUP($B17,'CSM  PRICE LIST 26.1.3'!$A$2:$E$110,2,FALSE)</f>
        <v>ACCESSORIES</v>
      </c>
      <c r="D17" s="32" t="str">
        <f>+VLOOKUP($B17,'CSM  PRICE LIST 26.1.3'!$A$2:$E$110,3,FALSE)</f>
        <v>GEO 4 MEVSİM BİNİCİ ÇORABI
3'LÜ PAKET</v>
      </c>
      <c r="E17" s="16">
        <f>+VLOOKUP($B17,'MASTER PRICE LIST'!$B$9:$K$117,4,FALSE)</f>
        <v>34.9</v>
      </c>
      <c r="F17" s="9">
        <f>+VLOOKUP($B17,'MASTER PRICE LIST'!$B$9:$K$117,5,FALSE)</f>
        <v>1910</v>
      </c>
      <c r="G17" s="10">
        <f t="shared" si="0"/>
        <v>955</v>
      </c>
      <c r="H17" s="81" t="e">
        <f>+VLOOKUP($B17,'CSM  PRICE LIST 26.1.3'!$A:$G,8,FALSE)</f>
        <v>#REF!</v>
      </c>
      <c r="I17" s="7"/>
    </row>
    <row r="18" spans="2:9" ht="18.75" customHeight="1" x14ac:dyDescent="0.2">
      <c r="B18" s="15" t="s">
        <v>25</v>
      </c>
      <c r="C18" s="25" t="str">
        <f>+VLOOKUP($B18,'CSM  PRICE LIST 26.1.3'!$A$2:$E$110,2,FALSE)</f>
        <v>ACCESSORIES</v>
      </c>
      <c r="D18" s="32" t="str">
        <f>+VLOOKUP($B18,'CSM  PRICE LIST 26.1.3'!$A$2:$E$110,3,FALSE)</f>
        <v>ÇOCUK BİNİCİ ÇORABI
3'LÜ PAKET</v>
      </c>
      <c r="E18" s="16">
        <f>+VLOOKUP($B18,'MASTER PRICE LIST'!$B$9:$K$117,4,FALSE)</f>
        <v>34.9</v>
      </c>
      <c r="F18" s="9">
        <f>+VLOOKUP($B18,'MASTER PRICE LIST'!$B$9:$K$117,5,FALSE)</f>
        <v>1910</v>
      </c>
      <c r="G18" s="10">
        <f t="shared" si="0"/>
        <v>955</v>
      </c>
      <c r="H18" s="81" t="e">
        <f>+VLOOKUP($B18,'CSM  PRICE LIST 26.1.3'!$A:$G,8,FALSE)</f>
        <v>#REF!</v>
      </c>
      <c r="I18" s="7"/>
    </row>
    <row r="19" spans="2:9" ht="18.75" customHeight="1" x14ac:dyDescent="0.2">
      <c r="B19" s="15" t="s">
        <v>26</v>
      </c>
      <c r="C19" s="25" t="str">
        <f>+VLOOKUP($B19,'CSM  PRICE LIST 26.1.3'!$A$2:$E$110,2,FALSE)</f>
        <v>ACCESSORIES</v>
      </c>
      <c r="D19" s="32" t="str">
        <f>+VLOOKUP($B19,'CSM  PRICE LIST 26.1.3'!$A$2:$E$110,3,FALSE)</f>
        <v>YARIŞMA KRAVATI</v>
      </c>
      <c r="E19" s="16">
        <f>+VLOOKUP($B19,'MASTER PRICE LIST'!$B$9:$K$117,4,FALSE)</f>
        <v>39.9</v>
      </c>
      <c r="F19" s="9">
        <f>+VLOOKUP($B19,'MASTER PRICE LIST'!$B$9:$K$117,5,FALSE)</f>
        <v>2190</v>
      </c>
      <c r="G19" s="10">
        <f t="shared" si="0"/>
        <v>1095</v>
      </c>
      <c r="H19" s="81" t="e">
        <f>+VLOOKUP($B19,'CSM  PRICE LIST 26.1.3'!$A:$G,8,FALSE)</f>
        <v>#REF!</v>
      </c>
      <c r="I19" s="7"/>
    </row>
    <row r="20" spans="2:9" ht="18.75" customHeight="1" x14ac:dyDescent="0.2">
      <c r="B20" s="15" t="s">
        <v>147</v>
      </c>
      <c r="C20" s="25" t="str">
        <f>+VLOOKUP($B20,'CSM  PRICE LIST 26.1.3'!$A$2:$E$110,2,FALSE)</f>
        <v>ACCESSORIES</v>
      </c>
      <c r="D20" s="32" t="str">
        <f>+VLOOKUP($B20,'CSM  PRICE LIST 26.1.3'!$A$2:$E$110,3,FALSE)</f>
        <v>4 MEVSİM BİNİCİ ÇORABI
3'LÜ PAKET</v>
      </c>
      <c r="E20" s="16">
        <f>+VLOOKUP($B20,'MASTER PRICE LIST'!$B$9:$K$117,4,FALSE)</f>
        <v>39.9</v>
      </c>
      <c r="F20" s="9">
        <f>+VLOOKUP($B20,'MASTER PRICE LIST'!$B$9:$K$117,5,FALSE)</f>
        <v>2190</v>
      </c>
      <c r="G20" s="10">
        <f t="shared" si="0"/>
        <v>1095</v>
      </c>
      <c r="H20" s="81" t="e">
        <f>+VLOOKUP($B20,'CSM  PRICE LIST 26.1.3'!$A:$G,8,FALSE)</f>
        <v>#REF!</v>
      </c>
      <c r="I20" s="7"/>
    </row>
    <row r="21" spans="2:9" ht="18.75" customHeight="1" x14ac:dyDescent="0.2">
      <c r="B21" s="15" t="s">
        <v>75</v>
      </c>
      <c r="C21" s="25" t="str">
        <f>+VLOOKUP($B21,'CSM  PRICE LIST 26.1.3'!$A$2:$E$110,2,FALSE)</f>
        <v>ACCESSORIES</v>
      </c>
      <c r="D21" s="32" t="str">
        <f>+VLOOKUP($B21,'CSM  PRICE LIST 26.1.3'!$A$2:$E$110,3,FALSE)</f>
        <v>ÖRME YARIŞMA KRAVATI</v>
      </c>
      <c r="E21" s="16">
        <f>+VLOOKUP($B21,'MASTER PRICE LIST'!$B$9:$K$117,4,FALSE)</f>
        <v>39.9</v>
      </c>
      <c r="F21" s="9">
        <f>+VLOOKUP($B21,'MASTER PRICE LIST'!$B$9:$K$117,5,FALSE)</f>
        <v>2190</v>
      </c>
      <c r="G21" s="10">
        <f t="shared" si="0"/>
        <v>1095</v>
      </c>
      <c r="H21" s="81"/>
      <c r="I21" s="7"/>
    </row>
    <row r="22" spans="2:9" ht="18.75" customHeight="1" x14ac:dyDescent="0.2">
      <c r="B22" s="15" t="s">
        <v>23</v>
      </c>
      <c r="C22" s="25" t="str">
        <f>+VLOOKUP($B22,'CSM  PRICE LIST 26.1.3'!$A$2:$E$110,2,FALSE)</f>
        <v>ACCESSORIES</v>
      </c>
      <c r="D22" s="32" t="str">
        <f>+VLOOKUP($B22,'CSM  PRICE LIST 26.1.3'!$A$2:$E$110,3,FALSE)</f>
        <v>4 MEVSİM BİNİCİ ÇORABI
3'LÜ PAKET</v>
      </c>
      <c r="E22" s="16">
        <f>+VLOOKUP($B22,'MASTER PRICE LIST'!$B$9:$K$117,4,FALSE)</f>
        <v>39.9</v>
      </c>
      <c r="F22" s="9">
        <f>+VLOOKUP($B22,'MASTER PRICE LIST'!$B$9:$K$117,5,FALSE)</f>
        <v>2190</v>
      </c>
      <c r="G22" s="10">
        <f t="shared" si="0"/>
        <v>1095</v>
      </c>
      <c r="H22" s="81" t="e">
        <f>+VLOOKUP($B22,'CSM  PRICE LIST 26.1.3'!$A:$G,8,FALSE)</f>
        <v>#REF!</v>
      </c>
      <c r="I22" s="7"/>
    </row>
    <row r="23" spans="2:9" ht="18.75" customHeight="1" x14ac:dyDescent="0.2">
      <c r="B23" s="15" t="s">
        <v>24</v>
      </c>
      <c r="C23" s="25" t="str">
        <f>+VLOOKUP($B23,'CSM  PRICE LIST 26.1.3'!$A$2:$E$110,2,FALSE)</f>
        <v>ACCESSORIES</v>
      </c>
      <c r="D23" s="32" t="str">
        <f>+VLOOKUP($B23,'CSM  PRICE LIST 26.1.3'!$A$2:$E$110,3,FALSE)</f>
        <v>KIŞLIK BİNİCİ ÇORABI
2'Lİ PAKET</v>
      </c>
      <c r="E23" s="16">
        <f>+VLOOKUP($B23,'MASTER PRICE LIST'!$B$9:$K$117,4,FALSE)</f>
        <v>39.9</v>
      </c>
      <c r="F23" s="9">
        <f>+VLOOKUP($B23,'MASTER PRICE LIST'!$B$9:$K$117,5,FALSE)</f>
        <v>2190</v>
      </c>
      <c r="G23" s="10">
        <f t="shared" si="0"/>
        <v>1095</v>
      </c>
      <c r="H23" s="81" t="e">
        <f>+VLOOKUP($B23,'CSM  PRICE LIST 26.1.3'!$A:$G,8,FALSE)</f>
        <v>#REF!</v>
      </c>
      <c r="I23" s="7"/>
    </row>
    <row r="24" spans="2:9" ht="18.75" customHeight="1" x14ac:dyDescent="0.2">
      <c r="B24" s="15" t="s">
        <v>29</v>
      </c>
      <c r="C24" s="25" t="str">
        <f>+VLOOKUP($B24,'CSM  PRICE LIST 26.1.3'!$A$2:$E$110,2,FALSE)</f>
        <v>ACCESSORIES</v>
      </c>
      <c r="D24" s="32" t="str">
        <f>+VLOOKUP($B24,'CSM  PRICE LIST 26.1.3'!$A$2:$E$110,3,FALSE)</f>
        <v>BOX PERDESİ</v>
      </c>
      <c r="E24" s="16">
        <f>+VLOOKUP($B24,'MASTER PRICE LIST'!$B$9:$K$117,4,FALSE)</f>
        <v>49.9</v>
      </c>
      <c r="F24" s="9">
        <f>+VLOOKUP($B24,'MASTER PRICE LIST'!$B$9:$K$117,5,FALSE)</f>
        <v>2740</v>
      </c>
      <c r="G24" s="10">
        <f t="shared" si="0"/>
        <v>1370</v>
      </c>
      <c r="H24" s="81" t="e">
        <f>+VLOOKUP($B24,'CSM  PRICE LIST 26.1.3'!$A:$G,8,FALSE)</f>
        <v>#REF!</v>
      </c>
      <c r="I24" s="7"/>
    </row>
    <row r="25" spans="2:9" ht="18.75" customHeight="1" x14ac:dyDescent="0.2">
      <c r="B25" s="15" t="s">
        <v>106</v>
      </c>
      <c r="C25" s="25" t="str">
        <f>+VLOOKUP($B25,'CSM  PRICE LIST 26.1.3'!$A$2:$E$110,2,FALSE)</f>
        <v>ACCESSORIES</v>
      </c>
      <c r="D25" s="32" t="str">
        <f>+VLOOKUP($B25,'CSM  PRICE LIST 26.1.3'!$A$2:$E$110,3,FALSE)</f>
        <v>ÖRGÜ KEMER</v>
      </c>
      <c r="E25" s="16">
        <f>+VLOOKUP($B25,'MASTER PRICE LIST'!$B$9:$K$117,4,FALSE)</f>
        <v>49.9</v>
      </c>
      <c r="F25" s="9">
        <f>+VLOOKUP($B25,'MASTER PRICE LIST'!$B$9:$K$117,5,FALSE)</f>
        <v>2740</v>
      </c>
      <c r="G25" s="10">
        <f t="shared" si="0"/>
        <v>1370</v>
      </c>
      <c r="H25" s="81"/>
      <c r="I25" s="7"/>
    </row>
    <row r="26" spans="2:9" ht="18.75" customHeight="1" x14ac:dyDescent="0.2">
      <c r="B26" s="15" t="s">
        <v>19</v>
      </c>
      <c r="C26" s="25" t="str">
        <f>+VLOOKUP($B26,'CSM  PRICE LIST 26.1.3'!$A$2:$E$110,2,FALSE)</f>
        <v>ACCESSORIES</v>
      </c>
      <c r="D26" s="32" t="str">
        <f>+VLOOKUP($B26,'CSM  PRICE LIST 26.1.3'!$A$2:$E$110,3,FALSE)</f>
        <v>ÖRGÜ KEMER</v>
      </c>
      <c r="E26" s="16">
        <f>+VLOOKUP($B26,'MASTER PRICE LIST'!$B$9:$K$117,4,FALSE)</f>
        <v>49.9</v>
      </c>
      <c r="F26" s="9">
        <f>+VLOOKUP($B26,'MASTER PRICE LIST'!$B$9:$K$117,5,FALSE)</f>
        <v>2740</v>
      </c>
      <c r="G26" s="10">
        <f t="shared" si="0"/>
        <v>1370</v>
      </c>
      <c r="H26" s="81" t="e">
        <f>+VLOOKUP($B26,'CSM  PRICE LIST 26.1.3'!$A:$G,8,FALSE)</f>
        <v>#REF!</v>
      </c>
      <c r="I26" s="7"/>
    </row>
    <row r="27" spans="2:9" ht="18.75" customHeight="1" x14ac:dyDescent="0.2">
      <c r="B27" s="15" t="s">
        <v>137</v>
      </c>
      <c r="C27" s="25" t="str">
        <f>+VLOOKUP($B27,'CSM  PRICE LIST 26.1.3'!$A$2:$E$110,2,FALSE)</f>
        <v>ACCESSORIES</v>
      </c>
      <c r="D27" s="32" t="str">
        <f>+VLOOKUP($B27,'CSM  PRICE LIST 26.1.3'!$A$2:$E$110,3,FALSE)</f>
        <v>ÖRGÜ KEMER</v>
      </c>
      <c r="E27" s="16">
        <f>+VLOOKUP($B27,'MASTER PRICE LIST'!$B$9:$K$117,4,FALSE)</f>
        <v>59.9</v>
      </c>
      <c r="F27" s="9">
        <f>+VLOOKUP($B27,'MASTER PRICE LIST'!$B$9:$K$117,5,FALSE)</f>
        <v>3290</v>
      </c>
      <c r="G27" s="10">
        <f t="shared" si="0"/>
        <v>1645</v>
      </c>
      <c r="H27" s="81" t="e">
        <f>+VLOOKUP($B27,'CSM  PRICE LIST 26.1.3'!$A:$G,8,FALSE)</f>
        <v>#REF!</v>
      </c>
      <c r="I27" s="7"/>
    </row>
    <row r="28" spans="2:9" ht="18.75" customHeight="1" x14ac:dyDescent="0.2">
      <c r="B28" s="15" t="s">
        <v>28</v>
      </c>
      <c r="C28" s="25" t="str">
        <f>+VLOOKUP($B28,'CSM  PRICE LIST 26.1.3'!$A$2:$E$110,2,FALSE)</f>
        <v>ACCESSORIES</v>
      </c>
      <c r="D28" s="32" t="str">
        <f>+VLOOKUP($B28,'CSM  PRICE LIST 26.1.3'!$A$2:$E$110,3,FALSE)</f>
        <v>AHIR PERDESİ</v>
      </c>
      <c r="E28" s="16">
        <f>+VLOOKUP($B28,'MASTER PRICE LIST'!$B$9:$K$117,4,FALSE)</f>
        <v>99.9</v>
      </c>
      <c r="F28" s="9">
        <f>+VLOOKUP($B28,'MASTER PRICE LIST'!$B$9:$K$117,5,FALSE)</f>
        <v>5490</v>
      </c>
      <c r="G28" s="10">
        <f t="shared" si="0"/>
        <v>2745</v>
      </c>
      <c r="H28" s="81" t="e">
        <f>+VLOOKUP($B28,'CSM  PRICE LIST 26.1.3'!$A:$G,8,FALSE)</f>
        <v>#REF!</v>
      </c>
      <c r="I28" s="7"/>
    </row>
    <row r="29" spans="2:9" ht="18.75" customHeight="1" x14ac:dyDescent="0.2">
      <c r="B29" s="15" t="s">
        <v>15</v>
      </c>
      <c r="C29" s="25" t="str">
        <f>+VLOOKUP($B29,'CSM  PRICE LIST 26.1.3'!$A$2:$E$110,2,FALSE)</f>
        <v>HORSE</v>
      </c>
      <c r="D29" s="32" t="str">
        <f>+VLOOKUP($B29,'CSM  PRICE LIST 26.1.3'!$A$2:$E$110,3,FALSE)</f>
        <v>ÖRME KULAKLIK</v>
      </c>
      <c r="E29" s="16">
        <f>+VLOOKUP($B29,'MASTER PRICE LIST'!$B$9:$K$117,4,FALSE)</f>
        <v>39.9</v>
      </c>
      <c r="F29" s="9">
        <f>+VLOOKUP($B29,'MASTER PRICE LIST'!$B$9:$K$117,5,FALSE)</f>
        <v>2190</v>
      </c>
      <c r="G29" s="10">
        <f t="shared" si="0"/>
        <v>1095</v>
      </c>
      <c r="H29" s="81" t="e">
        <f>+VLOOKUP($B29,'CSM  PRICE LIST 26.1.3'!$A:$G,8,FALSE)</f>
        <v>#REF!</v>
      </c>
      <c r="I29" s="7"/>
    </row>
    <row r="30" spans="2:9" ht="18.75" customHeight="1" x14ac:dyDescent="0.2">
      <c r="B30" s="15" t="s">
        <v>17</v>
      </c>
      <c r="C30" s="25" t="str">
        <f>+VLOOKUP($B30,'CSM  PRICE LIST 26.1.3'!$A$2:$E$110,2,FALSE)</f>
        <v>HORSE</v>
      </c>
      <c r="D30" s="32" t="str">
        <f>+VLOOKUP($B30,'CSM  PRICE LIST 26.1.3'!$A$2:$E$110,3,FALSE)</f>
        <v>ÖRME PONY KULAKLIK</v>
      </c>
      <c r="E30" s="16">
        <f>+VLOOKUP($B30,'MASTER PRICE LIST'!$B$9:$K$117,4,FALSE)</f>
        <v>39.9</v>
      </c>
      <c r="F30" s="9">
        <f>+VLOOKUP($B30,'MASTER PRICE LIST'!$B$9:$K$117,5,FALSE)</f>
        <v>2190</v>
      </c>
      <c r="G30" s="10">
        <f t="shared" si="0"/>
        <v>1095</v>
      </c>
      <c r="H30" s="81" t="e">
        <f>+VLOOKUP($B30,'CSM  PRICE LIST 26.1.3'!$A:$G,8,FALSE)</f>
        <v>#REF!</v>
      </c>
      <c r="I30" s="7"/>
    </row>
    <row r="31" spans="2:9" ht="18.75" customHeight="1" x14ac:dyDescent="0.2">
      <c r="B31" s="15" t="s">
        <v>91</v>
      </c>
      <c r="C31" s="25" t="str">
        <f>+VLOOKUP($B31,'CSM  PRICE LIST 26.1.3'!$A$2:$E$110,2,FALSE)</f>
        <v>HORSE</v>
      </c>
      <c r="D31" s="32" t="str">
        <f>+VLOOKUP($B31,'CSM  PRICE LIST 26.1.3'!$A$2:$E$110,3,FALSE)</f>
        <v>TECH SERİSİ KULAKLIK</v>
      </c>
      <c r="E31" s="16">
        <f>+VLOOKUP($B31,'MASTER PRICE LIST'!$B$9:$K$117,4,FALSE)</f>
        <v>49.9</v>
      </c>
      <c r="F31" s="9">
        <f>+VLOOKUP($B31,'MASTER PRICE LIST'!$B$9:$K$117,5,FALSE)</f>
        <v>2740</v>
      </c>
      <c r="G31" s="10">
        <f t="shared" si="0"/>
        <v>1370</v>
      </c>
      <c r="H31" s="81" t="e">
        <f>+VLOOKUP($B31,'CSM  PRICE LIST 26.1.3'!$A:$G,8,FALSE)</f>
        <v>#REF!</v>
      </c>
      <c r="I31" s="7"/>
    </row>
    <row r="32" spans="2:9" ht="18.75" customHeight="1" x14ac:dyDescent="0.2">
      <c r="B32" s="15" t="s">
        <v>74</v>
      </c>
      <c r="C32" s="25" t="str">
        <f>+VLOOKUP($B32,'CSM  PRICE LIST 26.1.3'!$A$2:$E$110,2,FALSE)</f>
        <v>HORSE</v>
      </c>
      <c r="D32" s="32" t="str">
        <f>+VLOOKUP($B32,'CSM  PRICE LIST 26.1.3'!$A$2:$E$110,3,FALSE)</f>
        <v>TECH SERİSİ PONY KULAKLIK</v>
      </c>
      <c r="E32" s="16">
        <f>+VLOOKUP($B32,'MASTER PRICE LIST'!$B$9:$K$117,4,FALSE)</f>
        <v>49.9</v>
      </c>
      <c r="F32" s="9">
        <f>+VLOOKUP($B32,'MASTER PRICE LIST'!$B$9:$K$117,5,FALSE)</f>
        <v>2740</v>
      </c>
      <c r="G32" s="10">
        <f t="shared" si="0"/>
        <v>1370</v>
      </c>
      <c r="H32" s="81" t="e">
        <f>+VLOOKUP($B32,'CSM  PRICE LIST 26.1.3'!$A:$G,8,FALSE)</f>
        <v>#REF!</v>
      </c>
      <c r="I32" s="7"/>
    </row>
    <row r="33" spans="2:9" ht="18.75" customHeight="1" x14ac:dyDescent="0.2">
      <c r="B33" s="15" t="s">
        <v>11</v>
      </c>
      <c r="C33" s="25" t="str">
        <f>+VLOOKUP($B33,'CSM  PRICE LIST 26.1.3'!$A$2:$E$110,2,FALSE)</f>
        <v>HORSE</v>
      </c>
      <c r="D33" s="32" t="str">
        <f>+VLOOKUP($B33,'CSM  PRICE LIST 26.1.3'!$A$2:$E$110,3,FALSE)</f>
        <v>POLAR ÇALIŞMA BLANKETİ</v>
      </c>
      <c r="E33" s="16">
        <f>+VLOOKUP($B33,'MASTER PRICE LIST'!$B$9:$K$117,4,FALSE)</f>
        <v>79.900000000000006</v>
      </c>
      <c r="F33" s="9">
        <f>+VLOOKUP($B33,'MASTER PRICE LIST'!$B$9:$K$117,5,FALSE)</f>
        <v>4390</v>
      </c>
      <c r="G33" s="10">
        <f t="shared" si="0"/>
        <v>2195</v>
      </c>
      <c r="H33" s="81" t="e">
        <f>+VLOOKUP($B33,'CSM  PRICE LIST 26.1.3'!$A:$G,8,FALSE)</f>
        <v>#REF!</v>
      </c>
      <c r="I33" s="7"/>
    </row>
    <row r="34" spans="2:9" ht="18.75" customHeight="1" x14ac:dyDescent="0.2">
      <c r="B34" s="15" t="s">
        <v>93</v>
      </c>
      <c r="C34" s="25" t="str">
        <f>+VLOOKUP($B34,'CSM  PRICE LIST 26.1.3'!$A$2:$E$110,2,FALSE)</f>
        <v>HORSE</v>
      </c>
      <c r="D34" s="32" t="str">
        <f>+VLOOKUP($B34,'CSM  PRICE LIST 26.1.3'!$A$2:$E$110,3,FALSE)</f>
        <v>PONY POLAR ÇALIŞMA BLANKETİ</v>
      </c>
      <c r="E34" s="16">
        <f>+VLOOKUP($B34,'MASTER PRICE LIST'!$B$9:$K$117,4,FALSE)</f>
        <v>79.900000000000006</v>
      </c>
      <c r="F34" s="9">
        <f>+VLOOKUP($B34,'MASTER PRICE LIST'!$B$9:$K$117,5,FALSE)</f>
        <v>4390</v>
      </c>
      <c r="G34" s="10">
        <f t="shared" si="0"/>
        <v>2195</v>
      </c>
      <c r="H34" s="81" t="e">
        <f>+VLOOKUP($B34,'CSM  PRICE LIST 26.1.3'!$A:$G,8,FALSE)</f>
        <v>#REF!</v>
      </c>
      <c r="I34" s="7"/>
    </row>
    <row r="35" spans="2:9" ht="18.75" customHeight="1" x14ac:dyDescent="0.2">
      <c r="B35" s="15" t="s">
        <v>3</v>
      </c>
      <c r="C35" s="25" t="str">
        <f>+VLOOKUP($B35,'CSM  PRICE LIST 26.1.3'!$A$2:$E$110,2,FALSE)</f>
        <v>HORSE</v>
      </c>
      <c r="D35" s="32" t="str">
        <f>+VLOOKUP($B35,'CSM  PRICE LIST 26.1.3'!$A$2:$E$110,3,FALSE)</f>
        <v>ELMAS DESEN EYER ALTI</v>
      </c>
      <c r="E35" s="16">
        <f>+VLOOKUP($B35,'MASTER PRICE LIST'!$B$9:$K$117,4,FALSE)</f>
        <v>79.900000000000006</v>
      </c>
      <c r="F35" s="9">
        <f>+VLOOKUP($B35,'MASTER PRICE LIST'!$B$9:$K$117,5,FALSE)</f>
        <v>4390</v>
      </c>
      <c r="G35" s="10">
        <f t="shared" si="0"/>
        <v>2195</v>
      </c>
      <c r="H35" s="81" t="e">
        <f>+VLOOKUP($B35,'CSM  PRICE LIST 26.1.3'!$A:$G,8,FALSE)</f>
        <v>#REF!</v>
      </c>
      <c r="I35" s="7"/>
    </row>
    <row r="36" spans="2:9" ht="18.75" customHeight="1" x14ac:dyDescent="0.2">
      <c r="B36" s="15" t="s">
        <v>5</v>
      </c>
      <c r="C36" s="25" t="str">
        <f>+VLOOKUP($B36,'CSM  PRICE LIST 26.1.3'!$A$2:$E$110,2,FALSE)</f>
        <v>HORSE</v>
      </c>
      <c r="D36" s="32" t="str">
        <f>+VLOOKUP($B36,'CSM  PRICE LIST 26.1.3'!$A$2:$E$110,3,FALSE)</f>
        <v>ELMAS DESEN PONY EYER ALTI</v>
      </c>
      <c r="E36" s="16">
        <f>+VLOOKUP($B36,'MASTER PRICE LIST'!$B$9:$K$117,4,FALSE)</f>
        <v>79.900000000000006</v>
      </c>
      <c r="F36" s="9">
        <f>+VLOOKUP($B36,'MASTER PRICE LIST'!$B$9:$K$117,5,FALSE)</f>
        <v>4390</v>
      </c>
      <c r="G36" s="10">
        <f t="shared" si="0"/>
        <v>2195</v>
      </c>
      <c r="H36" s="81" t="e">
        <f>+VLOOKUP($B36,'CSM  PRICE LIST 26.1.3'!$A:$G,8,FALSE)</f>
        <v>#REF!</v>
      </c>
      <c r="I36" s="7"/>
    </row>
    <row r="37" spans="2:9" ht="18.75" customHeight="1" x14ac:dyDescent="0.2">
      <c r="B37" s="15" t="s">
        <v>92</v>
      </c>
      <c r="C37" s="25" t="str">
        <f>+VLOOKUP($B37,'CSM  PRICE LIST 26.1.3'!$A$2:$E$110,2,FALSE)</f>
        <v>HORSE</v>
      </c>
      <c r="D37" s="32" t="str">
        <f>+VLOOKUP($B37,'CSM  PRICE LIST 26.1.3'!$A$2:$E$110,3,FALSE)</f>
        <v>PETEK DESEN EYER ALTI</v>
      </c>
      <c r="E37" s="16">
        <f>+VLOOKUP($B37,'MASTER PRICE LIST'!$B$9:$K$117,4,FALSE)</f>
        <v>79.900000000000006</v>
      </c>
      <c r="F37" s="9">
        <f>+VLOOKUP($B37,'MASTER PRICE LIST'!$B$9:$K$117,5,FALSE)</f>
        <v>4390</v>
      </c>
      <c r="G37" s="10">
        <f t="shared" si="0"/>
        <v>2195</v>
      </c>
      <c r="H37" s="81" t="e">
        <f>+VLOOKUP($B37,'CSM  PRICE LIST 26.1.3'!$A:$G,8,FALSE)</f>
        <v>#REF!</v>
      </c>
      <c r="I37" s="7"/>
    </row>
    <row r="38" spans="2:9" ht="18.75" customHeight="1" x14ac:dyDescent="0.2">
      <c r="B38" s="15" t="s">
        <v>6</v>
      </c>
      <c r="C38" s="25" t="str">
        <f>+VLOOKUP($B38,'CSM  PRICE LIST 26.1.3'!$A$2:$E$110,2,FALSE)</f>
        <v>HORSE</v>
      </c>
      <c r="D38" s="32" t="str">
        <f>+VLOOKUP($B38,'CSM  PRICE LIST 26.1.3'!$A$2:$E$110,3,FALSE)</f>
        <v>PETEK DESEN PONY EYER ALTI</v>
      </c>
      <c r="E38" s="16">
        <f>+VLOOKUP($B38,'MASTER PRICE LIST'!$B$9:$K$117,4,FALSE)</f>
        <v>79.900000000000006</v>
      </c>
      <c r="F38" s="9">
        <f>+VLOOKUP($B38,'MASTER PRICE LIST'!$B$9:$K$117,5,FALSE)</f>
        <v>4390</v>
      </c>
      <c r="G38" s="10">
        <f t="shared" si="0"/>
        <v>2195</v>
      </c>
      <c r="H38" s="81" t="e">
        <f>+VLOOKUP($B38,'CSM  PRICE LIST 26.1.3'!$A:$G,8,FALSE)</f>
        <v>#REF!</v>
      </c>
      <c r="I38" s="7"/>
    </row>
    <row r="39" spans="2:9" ht="18.75" customHeight="1" x14ac:dyDescent="0.2">
      <c r="B39" s="15" t="s">
        <v>12</v>
      </c>
      <c r="C39" s="25" t="str">
        <f>+VLOOKUP($B39,'CSM  PRICE LIST 26.1.3'!$A$2:$E$110,2,FALSE)</f>
        <v>HORSE</v>
      </c>
      <c r="D39" s="32" t="str">
        <f>+VLOOKUP($B39,'CSM  PRICE LIST 26.1.3'!$A$2:$E$110,3,FALSE)</f>
        <v>SİNEKLİK BLANKET</v>
      </c>
      <c r="E39" s="16">
        <f>+VLOOKUP($B39,'MASTER PRICE LIST'!$B$9:$K$117,4,FALSE)</f>
        <v>79.900000000000006</v>
      </c>
      <c r="F39" s="9">
        <f>+VLOOKUP($B39,'MASTER PRICE LIST'!$B$9:$K$117,5,FALSE)</f>
        <v>4390</v>
      </c>
      <c r="G39" s="10">
        <f t="shared" si="0"/>
        <v>2195</v>
      </c>
      <c r="H39" s="81" t="e">
        <f>+VLOOKUP($B39,'CSM  PRICE LIST 26.1.3'!$A:$G,8,FALSE)</f>
        <v>#REF!</v>
      </c>
      <c r="I39" s="7"/>
    </row>
    <row r="40" spans="2:9" ht="18.75" customHeight="1" x14ac:dyDescent="0.2">
      <c r="B40" s="15" t="s">
        <v>95</v>
      </c>
      <c r="C40" s="25" t="str">
        <f>+VLOOKUP($B40,'CSM  PRICE LIST 26.1.3'!$A$2:$E$110,2,FALSE)</f>
        <v>HORSE</v>
      </c>
      <c r="D40" s="32" t="str">
        <f>+VLOOKUP($B40,'CSM  PRICE LIST 26.1.3'!$A$2:$E$110,3,FALSE)</f>
        <v>PONY SİNEKLİK BLANKET</v>
      </c>
      <c r="E40" s="16">
        <f>+VLOOKUP($B40,'MASTER PRICE LIST'!$B$9:$K$117,4,FALSE)</f>
        <v>79.900000000000006</v>
      </c>
      <c r="F40" s="9">
        <f>+VLOOKUP($B40,'MASTER PRICE LIST'!$B$9:$K$117,5,FALSE)</f>
        <v>4390</v>
      </c>
      <c r="G40" s="10">
        <f t="shared" si="0"/>
        <v>2195</v>
      </c>
      <c r="H40" s="81" t="e">
        <f>+VLOOKUP($B40,'CSM  PRICE LIST 26.1.3'!$A:$G,8,FALSE)</f>
        <v>#REF!</v>
      </c>
      <c r="I40" s="7"/>
    </row>
    <row r="41" spans="2:9" ht="18.75" customHeight="1" x14ac:dyDescent="0.2">
      <c r="B41" s="15" t="s">
        <v>7</v>
      </c>
      <c r="C41" s="25" t="str">
        <f>+VLOOKUP($B41,'CSM  PRICE LIST 26.1.3'!$A$2:$E$110,2,FALSE)</f>
        <v>HORSE</v>
      </c>
      <c r="D41" s="32" t="str">
        <f>+VLOOKUP($B41,'CSM  PRICE LIST 26.1.3'!$A$2:$E$110,3,FALSE)</f>
        <v>POLAR BLANKET</v>
      </c>
      <c r="E41" s="16">
        <f>+VLOOKUP($B41,'MASTER PRICE LIST'!$B$9:$K$117,4,FALSE)</f>
        <v>89.9</v>
      </c>
      <c r="F41" s="9">
        <f>+VLOOKUP($B41,'MASTER PRICE LIST'!$B$9:$K$117,5,FALSE)</f>
        <v>4940</v>
      </c>
      <c r="G41" s="10">
        <f t="shared" si="0"/>
        <v>2470</v>
      </c>
      <c r="H41" s="81" t="e">
        <f>+VLOOKUP($B41,'CSM  PRICE LIST 26.1.3'!$A:$G,8,FALSE)</f>
        <v>#REF!</v>
      </c>
      <c r="I41" s="7"/>
    </row>
    <row r="42" spans="2:9" ht="18.75" customHeight="1" x14ac:dyDescent="0.2">
      <c r="B42" s="15" t="s">
        <v>94</v>
      </c>
      <c r="C42" s="25" t="str">
        <f>+VLOOKUP($B42,'CSM  PRICE LIST 26.1.3'!$A$2:$E$110,2,FALSE)</f>
        <v>HORSE</v>
      </c>
      <c r="D42" s="32" t="str">
        <f>+VLOOKUP($B42,'CSM  PRICE LIST 26.1.3'!$A$2:$E$110,3,FALSE)</f>
        <v>PONY POLAR BLANKET</v>
      </c>
      <c r="E42" s="16">
        <f>+VLOOKUP($B42,'MASTER PRICE LIST'!$B$9:$K$117,4,FALSE)</f>
        <v>89.9</v>
      </c>
      <c r="F42" s="9">
        <f>+VLOOKUP($B42,'MASTER PRICE LIST'!$B$9:$K$117,5,FALSE)</f>
        <v>4940</v>
      </c>
      <c r="G42" s="10">
        <f t="shared" si="0"/>
        <v>2470</v>
      </c>
      <c r="H42" s="81" t="e">
        <f>+VLOOKUP($B42,'CSM  PRICE LIST 26.1.3'!$A:$G,8,FALSE)</f>
        <v>#REF!</v>
      </c>
      <c r="I42" s="7"/>
    </row>
    <row r="43" spans="2:9" ht="18.75" customHeight="1" x14ac:dyDescent="0.2">
      <c r="B43" s="15" t="s">
        <v>9</v>
      </c>
      <c r="C43" s="25" t="str">
        <f>+VLOOKUP($B43,'CSM  PRICE LIST 26.1.3'!$A$2:$E$110,2,FALSE)</f>
        <v>HORSE</v>
      </c>
      <c r="D43" s="32" t="str">
        <f>+VLOOKUP($B43,'CSM  PRICE LIST 26.1.3'!$A$2:$E$110,3,FALSE)</f>
        <v>TER BLANKETİ</v>
      </c>
      <c r="E43" s="16">
        <f>+VLOOKUP($B43,'MASTER PRICE LIST'!$B$9:$K$117,4,FALSE)</f>
        <v>99.9</v>
      </c>
      <c r="F43" s="9">
        <f>+VLOOKUP($B43,'MASTER PRICE LIST'!$B$9:$K$117,5,FALSE)</f>
        <v>5490</v>
      </c>
      <c r="G43" s="10">
        <f t="shared" ref="G43:G74" si="1">+F43*0.5</f>
        <v>2745</v>
      </c>
      <c r="H43" s="81" t="e">
        <f>+VLOOKUP($B43,'CSM  PRICE LIST 26.1.3'!$A:$G,8,FALSE)</f>
        <v>#REF!</v>
      </c>
      <c r="I43" s="7"/>
    </row>
    <row r="44" spans="2:9" ht="18.75" customHeight="1" x14ac:dyDescent="0.2">
      <c r="B44" s="15" t="s">
        <v>97</v>
      </c>
      <c r="C44" s="25" t="str">
        <f>+VLOOKUP($B44,'CSM  PRICE LIST 26.1.3'!$A$2:$E$110,2,FALSE)</f>
        <v>HORSE</v>
      </c>
      <c r="D44" s="32" t="str">
        <f>+VLOOKUP($B44,'CSM  PRICE LIST 26.1.3'!$A$2:$E$110,3,FALSE)</f>
        <v>PONY TER BLANKETİ</v>
      </c>
      <c r="E44" s="16">
        <f>+VLOOKUP($B44,'MASTER PRICE LIST'!$B$9:$K$117,4,FALSE)</f>
        <v>99.9</v>
      </c>
      <c r="F44" s="9">
        <f>+VLOOKUP($B44,'MASTER PRICE LIST'!$B$9:$K$117,5,FALSE)</f>
        <v>5490</v>
      </c>
      <c r="G44" s="10">
        <f t="shared" si="1"/>
        <v>2745</v>
      </c>
      <c r="H44" s="81" t="e">
        <f>+VLOOKUP($B44,'CSM  PRICE LIST 26.1.3'!$A:$G,8,FALSE)</f>
        <v>#REF!</v>
      </c>
      <c r="I44" s="7"/>
    </row>
    <row r="45" spans="2:9" ht="18.75" customHeight="1" x14ac:dyDescent="0.2">
      <c r="B45" s="15" t="s">
        <v>88</v>
      </c>
      <c r="C45" s="25" t="str">
        <f>+VLOOKUP($B45,'CSM  PRICE LIST 26.1.3'!$A$2:$E$110,2,FALSE)</f>
        <v>HORSE</v>
      </c>
      <c r="D45" s="32" t="str">
        <f>+VLOOKUP($B45,'CSM  PRICE LIST 26.1.3'!$A$2:$E$110,3,FALSE)</f>
        <v>HERITAGE DIAMOND DESEN EYER ALTI</v>
      </c>
      <c r="E45" s="16">
        <f>+VLOOKUP($B45,'MASTER PRICE LIST'!$B$9:$K$117,4,FALSE)</f>
        <v>99.9</v>
      </c>
      <c r="F45" s="9">
        <f>+VLOOKUP($B45,'MASTER PRICE LIST'!$B$9:$K$117,5,FALSE)</f>
        <v>5490</v>
      </c>
      <c r="G45" s="10">
        <f t="shared" si="1"/>
        <v>2745</v>
      </c>
      <c r="H45" s="81" t="e">
        <f>+VLOOKUP($B45,'CSM  PRICE LIST 26.1.3'!$A:$G,8,FALSE)</f>
        <v>#REF!</v>
      </c>
      <c r="I45" s="7"/>
    </row>
    <row r="46" spans="2:9" ht="18.75" customHeight="1" x14ac:dyDescent="0.2">
      <c r="B46" s="15" t="s">
        <v>4</v>
      </c>
      <c r="C46" s="25" t="str">
        <f>+VLOOKUP($B46,'CSM  PRICE LIST 26.1.3'!$A$2:$E$110,2,FALSE)</f>
        <v>HORSE</v>
      </c>
      <c r="D46" s="32" t="str">
        <f>+VLOOKUP($B46,'CSM  PRICE LIST 26.1.3'!$A$2:$E$110,3,FALSE)</f>
        <v>SÜET EYER ALTI</v>
      </c>
      <c r="E46" s="16">
        <f>+VLOOKUP($B46,'MASTER PRICE LIST'!$B$9:$K$117,4,FALSE)</f>
        <v>99.9</v>
      </c>
      <c r="F46" s="9">
        <f>+VLOOKUP($B46,'MASTER PRICE LIST'!$B$9:$K$117,5,FALSE)</f>
        <v>5490</v>
      </c>
      <c r="G46" s="10">
        <f t="shared" si="1"/>
        <v>2745</v>
      </c>
      <c r="H46" s="81" t="e">
        <f>+VLOOKUP($B46,'CSM  PRICE LIST 26.1.3'!$A:$G,8,FALSE)</f>
        <v>#REF!</v>
      </c>
      <c r="I46" s="7"/>
    </row>
    <row r="47" spans="2:9" ht="18.75" customHeight="1" x14ac:dyDescent="0.2">
      <c r="B47" s="15" t="s">
        <v>2</v>
      </c>
      <c r="C47" s="25" t="str">
        <f>+VLOOKUP($B47,'CSM  PRICE LIST 26.1.3'!$A$2:$E$110,2,FALSE)</f>
        <v>HORSE</v>
      </c>
      <c r="D47" s="32" t="str">
        <f>+VLOOKUP($B47,'CSM  PRICE LIST 26.1.3'!$A$2:$E$110,3,FALSE)</f>
        <v>YAĞMUR GEÇİRMEZ ÇALIŞMA BLANKETİ</v>
      </c>
      <c r="E47" s="16">
        <f>+VLOOKUP($B47,'MASTER PRICE LIST'!$B$9:$K$117,4,FALSE)</f>
        <v>99.9</v>
      </c>
      <c r="F47" s="9">
        <f>+VLOOKUP($B47,'MASTER PRICE LIST'!$B$9:$K$117,5,FALSE)</f>
        <v>5490</v>
      </c>
      <c r="G47" s="10">
        <f t="shared" si="1"/>
        <v>2745</v>
      </c>
      <c r="H47" s="81" t="e">
        <f>+VLOOKUP($B47,'CSM  PRICE LIST 26.1.3'!$A:$G,8,FALSE)</f>
        <v>#REF!</v>
      </c>
      <c r="I47" s="7"/>
    </row>
    <row r="48" spans="2:9" ht="18.75" customHeight="1" x14ac:dyDescent="0.2">
      <c r="B48" s="15" t="s">
        <v>99</v>
      </c>
      <c r="C48" s="25" t="str">
        <f>+VLOOKUP($B48,'CSM  PRICE LIST 26.1.3'!$A$2:$E$110,2,FALSE)</f>
        <v>HORSE</v>
      </c>
      <c r="D48" s="32" t="str">
        <f>+VLOOKUP($B48,'CSM  PRICE LIST 26.1.3'!$A$2:$E$110,3,FALSE)</f>
        <v>PONY YAĞMUR GEÇİRMEZ ÇALIŞMA BLANKETİ</v>
      </c>
      <c r="E48" s="16">
        <f>+VLOOKUP($B48,'MASTER PRICE LIST'!$B$9:$K$117,4,FALSE)</f>
        <v>99.9</v>
      </c>
      <c r="F48" s="9">
        <f>+VLOOKUP($B48,'MASTER PRICE LIST'!$B$9:$K$117,5,FALSE)</f>
        <v>5490</v>
      </c>
      <c r="G48" s="10">
        <f t="shared" si="1"/>
        <v>2745</v>
      </c>
      <c r="H48" s="81" t="e">
        <f>+VLOOKUP($B48,'CSM  PRICE LIST 26.1.3'!$A:$G,8,FALSE)</f>
        <v>#REF!</v>
      </c>
      <c r="I48" s="7"/>
    </row>
    <row r="49" spans="2:9" ht="18.75" customHeight="1" x14ac:dyDescent="0.2">
      <c r="B49" s="15" t="s">
        <v>8</v>
      </c>
      <c r="C49" s="25" t="str">
        <f>+VLOOKUP($B49,'CSM  PRICE LIST 26.1.3'!$A$2:$E$110,2,FALSE)</f>
        <v>HORSE</v>
      </c>
      <c r="D49" s="32" t="str">
        <f>+VLOOKUP($B49,'CSM  PRICE LIST 26.1.3'!$A$2:$E$110,3,FALSE)</f>
        <v>YAKALI POLAR BLANKET</v>
      </c>
      <c r="E49" s="16">
        <f>+VLOOKUP($B49,'MASTER PRICE LIST'!$B$9:$K$117,4,FALSE)</f>
        <v>99.9</v>
      </c>
      <c r="F49" s="9">
        <f>+VLOOKUP($B49,'MASTER PRICE LIST'!$B$9:$K$117,5,FALSE)</f>
        <v>5490</v>
      </c>
      <c r="G49" s="10">
        <f t="shared" si="1"/>
        <v>2745</v>
      </c>
      <c r="H49" s="81" t="e">
        <f>+VLOOKUP($B49,'CSM  PRICE LIST 26.1.3'!$A:$G,8,FALSE)</f>
        <v>#REF!</v>
      </c>
      <c r="I49" s="7"/>
    </row>
    <row r="50" spans="2:9" ht="18.75" customHeight="1" x14ac:dyDescent="0.2">
      <c r="B50" s="15" t="s">
        <v>96</v>
      </c>
      <c r="C50" s="25" t="str">
        <f>+VLOOKUP($B50,'CSM  PRICE LIST 26.1.3'!$A$2:$E$110,2,FALSE)</f>
        <v>HORSE</v>
      </c>
      <c r="D50" s="32" t="str">
        <f>+VLOOKUP($B50,'CSM  PRICE LIST 26.1.3'!$A$2:$E$110,3,FALSE)</f>
        <v>YAKALI PONY POLAR BLANKET</v>
      </c>
      <c r="E50" s="16">
        <f>+VLOOKUP($B50,'MASTER PRICE LIST'!$B$9:$K$117,4,FALSE)</f>
        <v>99.9</v>
      </c>
      <c r="F50" s="9">
        <f>+VLOOKUP($B50,'MASTER PRICE LIST'!$B$9:$K$117,5,FALSE)</f>
        <v>5490</v>
      </c>
      <c r="G50" s="10">
        <f t="shared" si="1"/>
        <v>2745</v>
      </c>
      <c r="H50" s="81" t="e">
        <f>+VLOOKUP($B50,'CSM  PRICE LIST 26.1.3'!$A:$G,8,FALSE)</f>
        <v>#REF!</v>
      </c>
      <c r="I50" s="7"/>
    </row>
    <row r="51" spans="2:9" ht="18.75" customHeight="1" x14ac:dyDescent="0.2">
      <c r="B51" s="15" t="s">
        <v>10</v>
      </c>
      <c r="C51" s="25" t="str">
        <f>+VLOOKUP($B51,'CSM  PRICE LIST 26.1.3'!$A$2:$E$110,2,FALSE)</f>
        <v>HORSE</v>
      </c>
      <c r="D51" s="32" t="str">
        <f>+VLOOKUP($B51,'CSM  PRICE LIST 26.1.3'!$A$2:$E$110,3,FALSE)</f>
        <v>ÇİFT RENK POLAR BLANKET</v>
      </c>
      <c r="E51" s="16">
        <f>+VLOOKUP($B51,'MASTER PRICE LIST'!$B$9:$K$117,4,FALSE)</f>
        <v>99.9</v>
      </c>
      <c r="F51" s="9">
        <f>+VLOOKUP($B51,'MASTER PRICE LIST'!$B$9:$K$117,5,FALSE)</f>
        <v>5490</v>
      </c>
      <c r="G51" s="10">
        <f t="shared" si="1"/>
        <v>2745</v>
      </c>
      <c r="H51" s="81" t="e">
        <f>+VLOOKUP($B51,'CSM  PRICE LIST 26.1.3'!$A:$G,8,FALSE)</f>
        <v>#REF!</v>
      </c>
      <c r="I51" s="7"/>
    </row>
    <row r="52" spans="2:9" ht="18.75" customHeight="1" x14ac:dyDescent="0.2">
      <c r="B52" s="15" t="s">
        <v>98</v>
      </c>
      <c r="C52" s="25" t="str">
        <f>+VLOOKUP($B52,'CSM  PRICE LIST 26.1.3'!$A$2:$E$110,2,FALSE)</f>
        <v>HORSE</v>
      </c>
      <c r="D52" s="32" t="str">
        <f>+VLOOKUP($B52,'CSM  PRICE LIST 26.1.3'!$A$2:$E$110,3,FALSE)</f>
        <v>ÇİFT RENK PONY POLAR BLANKET</v>
      </c>
      <c r="E52" s="16">
        <f>+VLOOKUP($B52,'MASTER PRICE LIST'!$B$9:$K$117,4,FALSE)</f>
        <v>99.9</v>
      </c>
      <c r="F52" s="9">
        <f>+VLOOKUP($B52,'MASTER PRICE LIST'!$B$9:$K$117,5,FALSE)</f>
        <v>5490</v>
      </c>
      <c r="G52" s="10">
        <f t="shared" si="1"/>
        <v>2745</v>
      </c>
      <c r="H52" s="81" t="e">
        <f>+VLOOKUP($B52,'CSM  PRICE LIST 26.1.3'!$A:$G,8,FALSE)</f>
        <v>#REF!</v>
      </c>
      <c r="I52" s="7"/>
    </row>
    <row r="53" spans="2:9" ht="18.75" customHeight="1" x14ac:dyDescent="0.2">
      <c r="B53" s="15" t="s">
        <v>109</v>
      </c>
      <c r="C53" s="25" t="str">
        <f>+VLOOKUP($B53,'CSM  PRICE LIST 26.1.3'!$A$2:$E$110,2,FALSE)</f>
        <v>HORSE</v>
      </c>
      <c r="D53" s="32" t="str">
        <f>+VLOOKUP($B53,'CSM  PRICE LIST 26.1.3'!$A$2:$E$110,3,FALSE)</f>
        <v>MEVSİMLİK AHIR BLANKETİ</v>
      </c>
      <c r="E53" s="16">
        <f>+VLOOKUP($B53,'MASTER PRICE LIST'!$B$9:$K$117,4,FALSE)</f>
        <v>189.9</v>
      </c>
      <c r="F53" s="9">
        <f>+VLOOKUP($B53,'MASTER PRICE LIST'!$B$9:$K$117,5,FALSE)</f>
        <v>10440</v>
      </c>
      <c r="G53" s="10">
        <f t="shared" si="1"/>
        <v>5220</v>
      </c>
      <c r="H53" s="81" t="e">
        <f>+VLOOKUP($B53,'CSM  PRICE LIST 26.1.3'!$A:$G,8,FALSE)</f>
        <v>#REF!</v>
      </c>
      <c r="I53" s="7"/>
    </row>
    <row r="54" spans="2:9" ht="18.75" customHeight="1" x14ac:dyDescent="0.2">
      <c r="B54" s="15" t="s">
        <v>108</v>
      </c>
      <c r="C54" s="25" t="str">
        <f>+VLOOKUP($B54,'CSM  PRICE LIST 26.1.3'!$A$2:$E$110,2,FALSE)</f>
        <v>HORSE</v>
      </c>
      <c r="D54" s="32" t="str">
        <f>+VLOOKUP($B54,'CSM  PRICE LIST 26.1.3'!$A$2:$E$110,3,FALSE)</f>
        <v>MEVSİMLİK PONY AHIR BLANKETİ</v>
      </c>
      <c r="E54" s="16">
        <f>+VLOOKUP($B54,'MASTER PRICE LIST'!$B$9:$K$117,4,FALSE)</f>
        <v>189.9</v>
      </c>
      <c r="F54" s="9">
        <f>+VLOOKUP($B54,'MASTER PRICE LIST'!$B$9:$K$117,5,FALSE)</f>
        <v>10440</v>
      </c>
      <c r="G54" s="10">
        <f t="shared" si="1"/>
        <v>5220</v>
      </c>
      <c r="H54" s="81" t="e">
        <f>+VLOOKUP($B54,'CSM  PRICE LIST 26.1.3'!$A:$G,8,FALSE)</f>
        <v>#REF!</v>
      </c>
      <c r="I54" s="7"/>
    </row>
    <row r="55" spans="2:9" ht="18.75" customHeight="1" x14ac:dyDescent="0.2">
      <c r="B55" s="15" t="s">
        <v>13</v>
      </c>
      <c r="C55" s="25" t="str">
        <f>+VLOOKUP($B55,'CSM  PRICE LIST 26.1.3'!$A$2:$E$110,2,FALSE)</f>
        <v>HORSE</v>
      </c>
      <c r="D55" s="32" t="str">
        <f>+VLOOKUP($B55,'CSM  PRICE LIST 26.1.3'!$A$2:$E$110,3,FALSE)</f>
        <v>KIŞLIK AHIR BLANKETİ</v>
      </c>
      <c r="E55" s="16">
        <f>+VLOOKUP($B55,'MASTER PRICE LIST'!$B$9:$K$117,4,FALSE)</f>
        <v>249.9</v>
      </c>
      <c r="F55" s="9">
        <f>+VLOOKUP($B55,'MASTER PRICE LIST'!$B$9:$K$117,5,FALSE)</f>
        <v>13740</v>
      </c>
      <c r="G55" s="10">
        <f t="shared" si="1"/>
        <v>6870</v>
      </c>
      <c r="H55" s="81" t="e">
        <f>+VLOOKUP($B55,'CSM  PRICE LIST 26.1.3'!$A:$G,8,FALSE)</f>
        <v>#REF!</v>
      </c>
      <c r="I55" s="7"/>
    </row>
    <row r="56" spans="2:9" ht="18.75" customHeight="1" x14ac:dyDescent="0.2">
      <c r="B56" s="15" t="s">
        <v>100</v>
      </c>
      <c r="C56" s="25" t="str">
        <f>+VLOOKUP($B56,'CSM  PRICE LIST 26.1.3'!$A$2:$E$110,2,FALSE)</f>
        <v>HORSE</v>
      </c>
      <c r="D56" s="32" t="str">
        <f>+VLOOKUP($B56,'CSM  PRICE LIST 26.1.3'!$A$2:$E$110,3,FALSE)</f>
        <v>PONY KIŞLIK AHIR BLANKETİ</v>
      </c>
      <c r="E56" s="16">
        <f>+VLOOKUP($B56,'MASTER PRICE LIST'!$B$9:$K$117,4,FALSE)</f>
        <v>249.9</v>
      </c>
      <c r="F56" s="9">
        <f>+VLOOKUP($B56,'MASTER PRICE LIST'!$B$9:$K$117,5,FALSE)</f>
        <v>13740</v>
      </c>
      <c r="G56" s="10">
        <f t="shared" si="1"/>
        <v>6870</v>
      </c>
      <c r="H56" s="81" t="e">
        <f>+VLOOKUP($B56,'CSM  PRICE LIST 26.1.3'!$A:$G,8,FALSE)</f>
        <v>#REF!</v>
      </c>
      <c r="I56" s="7"/>
    </row>
    <row r="57" spans="2:9" ht="18.75" customHeight="1" x14ac:dyDescent="0.2">
      <c r="B57" s="15" t="s">
        <v>40</v>
      </c>
      <c r="C57" s="25" t="str">
        <f>+VLOOKUP($B57,'CSM  PRICE LIST 26.1.3'!$A$2:$E$110,2,FALSE)</f>
        <v>RIDER</v>
      </c>
      <c r="D57" s="32" t="str">
        <f>+VLOOKUP($B57,'CSM  PRICE LIST 26.1.3'!$A$2:$E$110,3,FALSE)</f>
        <v>ERKEK ÇOCUK KISA KOL SOFT ANTRENMAN POLO</v>
      </c>
      <c r="E57" s="16">
        <f>+VLOOKUP($B57,'MASTER PRICE LIST'!$B$9:$K$117,4,FALSE)</f>
        <v>49.9</v>
      </c>
      <c r="F57" s="9">
        <f>+VLOOKUP($B57,'MASTER PRICE LIST'!$B$9:$K$117,5,FALSE)</f>
        <v>2740</v>
      </c>
      <c r="G57" s="10">
        <f t="shared" si="1"/>
        <v>1370</v>
      </c>
      <c r="H57" s="81" t="e">
        <f>+VLOOKUP($B57,'CSM  PRICE LIST 26.1.3'!$A:$G,8,FALSE)</f>
        <v>#REF!</v>
      </c>
      <c r="I57" s="7"/>
    </row>
    <row r="58" spans="2:9" ht="18.75" customHeight="1" x14ac:dyDescent="0.2">
      <c r="B58" s="15" t="s">
        <v>42</v>
      </c>
      <c r="C58" s="25" t="str">
        <f>+VLOOKUP($B58,'CSM  PRICE LIST 26.1.3'!$A$2:$E$110,2,FALSE)</f>
        <v>RIDER</v>
      </c>
      <c r="D58" s="32" t="str">
        <f>+VLOOKUP($B58,'CSM  PRICE LIST 26.1.3'!$A$2:$E$110,3,FALSE)</f>
        <v>KIZ ÇOCUK KISA KOL YARIŞMA POLO</v>
      </c>
      <c r="E58" s="16">
        <f>+VLOOKUP($B58,'MASTER PRICE LIST'!$B$9:$K$117,4,FALSE)</f>
        <v>59.9</v>
      </c>
      <c r="F58" s="9">
        <f>+VLOOKUP($B58,'MASTER PRICE LIST'!$B$9:$K$117,5,FALSE)</f>
        <v>3290</v>
      </c>
      <c r="G58" s="10">
        <f t="shared" si="1"/>
        <v>1645</v>
      </c>
      <c r="H58" s="81" t="e">
        <f>+VLOOKUP($B58,'CSM  PRICE LIST 26.1.3'!$A:$G,8,FALSE)</f>
        <v>#REF!</v>
      </c>
      <c r="I58" s="7"/>
    </row>
    <row r="59" spans="2:9" ht="18.75" customHeight="1" x14ac:dyDescent="0.2">
      <c r="B59" s="15" t="s">
        <v>38</v>
      </c>
      <c r="C59" s="25" t="str">
        <f>+VLOOKUP($B59,'CSM  PRICE LIST 26.1.3'!$A$2:$E$110,2,FALSE)</f>
        <v>RIDER</v>
      </c>
      <c r="D59" s="32" t="str">
        <f>+VLOOKUP($B59,'CSM  PRICE LIST 26.1.3'!$A$2:$E$110,3,FALSE)</f>
        <v>ERKEK ÇOCUK KISA KOL YARIŞMA POLO</v>
      </c>
      <c r="E59" s="16">
        <f>+VLOOKUP($B59,'MASTER PRICE LIST'!$B$9:$K$117,4,FALSE)</f>
        <v>59.9</v>
      </c>
      <c r="F59" s="9">
        <f>+VLOOKUP($B59,'MASTER PRICE LIST'!$B$9:$K$117,5,FALSE)</f>
        <v>3290</v>
      </c>
      <c r="G59" s="10">
        <f t="shared" si="1"/>
        <v>1645</v>
      </c>
      <c r="H59" s="81" t="e">
        <f>+VLOOKUP($B59,'CSM  PRICE LIST 26.1.3'!$A:$G,8,FALSE)</f>
        <v>#REF!</v>
      </c>
      <c r="I59" s="7"/>
    </row>
    <row r="60" spans="2:9" ht="18.75" customHeight="1" x14ac:dyDescent="0.2">
      <c r="B60" s="15" t="s">
        <v>76</v>
      </c>
      <c r="C60" s="25" t="str">
        <f>+VLOOKUP($B60,'CSM  PRICE LIST 26.1.3'!$A$2:$E$110,2,FALSE)</f>
        <v>RIDER</v>
      </c>
      <c r="D60" s="32" t="str">
        <f>+VLOOKUP($B60,'CSM  PRICE LIST 26.1.3'!$A$2:$E$110,3,FALSE)</f>
        <v>KIZ ÇOCUK KISA KOL TEKNİK ANTRENMAN POLO</v>
      </c>
      <c r="E60" s="16">
        <f>+VLOOKUP($B60,'MASTER PRICE LIST'!$B$9:$K$117,4,FALSE)</f>
        <v>59.9</v>
      </c>
      <c r="F60" s="9">
        <f>+VLOOKUP($B60,'MASTER PRICE LIST'!$B$9:$K$117,5,FALSE)</f>
        <v>3290</v>
      </c>
      <c r="G60" s="10">
        <f t="shared" si="1"/>
        <v>1645</v>
      </c>
      <c r="H60" s="81" t="e">
        <f>+VLOOKUP($B60,'CSM  PRICE LIST 26.1.3'!$A:$G,8,FALSE)</f>
        <v>#REF!</v>
      </c>
      <c r="I60" s="7"/>
    </row>
    <row r="61" spans="2:9" ht="18.75" customHeight="1" x14ac:dyDescent="0.2">
      <c r="B61" s="15" t="s">
        <v>39</v>
      </c>
      <c r="C61" s="25" t="str">
        <f>+VLOOKUP($B61,'CSM  PRICE LIST 26.1.3'!$A$2:$E$110,2,FALSE)</f>
        <v>RIDER</v>
      </c>
      <c r="D61" s="32" t="str">
        <f>+VLOOKUP($B61,'CSM  PRICE LIST 26.1.3'!$A$2:$E$110,3,FALSE)</f>
        <v>ERKEK ÇOCUK KISA KOL YARIŞMA POLO</v>
      </c>
      <c r="E61" s="16">
        <f>+VLOOKUP($B61,'MASTER PRICE LIST'!$B$9:$K$117,4,FALSE)</f>
        <v>59.9</v>
      </c>
      <c r="F61" s="9">
        <f>+VLOOKUP($B61,'MASTER PRICE LIST'!$B$9:$K$117,5,FALSE)</f>
        <v>3290</v>
      </c>
      <c r="G61" s="10">
        <f t="shared" si="1"/>
        <v>1645</v>
      </c>
      <c r="H61" s="81" t="e">
        <f>+VLOOKUP($B61,'CSM  PRICE LIST 26.1.3'!$A:$G,8,FALSE)</f>
        <v>#REF!</v>
      </c>
      <c r="I61" s="7"/>
    </row>
    <row r="62" spans="2:9" ht="18.75" customHeight="1" x14ac:dyDescent="0.2">
      <c r="B62" s="15" t="s">
        <v>78</v>
      </c>
      <c r="C62" s="25" t="str">
        <f>+VLOOKUP($B62,'CSM  PRICE LIST 26.1.3'!$A$2:$E$110,2,FALSE)</f>
        <v>RIDER</v>
      </c>
      <c r="D62" s="32" t="str">
        <f>+VLOOKUP($B62,'CSM  PRICE LIST 26.1.3'!$A$2:$E$110,3,FALSE)</f>
        <v>ERKEK ÇOCUK KISA KOL TEKNİK ANTRENMAN POLO</v>
      </c>
      <c r="E62" s="16">
        <f>+VLOOKUP($B62,'MASTER PRICE LIST'!$B$9:$K$117,4,FALSE)</f>
        <v>59.9</v>
      </c>
      <c r="F62" s="9">
        <f>+VLOOKUP($B62,'MASTER PRICE LIST'!$B$9:$K$117,5,FALSE)</f>
        <v>3290</v>
      </c>
      <c r="G62" s="10">
        <f t="shared" si="1"/>
        <v>1645</v>
      </c>
      <c r="H62" s="81" t="e">
        <f>+VLOOKUP($B62,'CSM  PRICE LIST 26.1.3'!$A:$G,8,FALSE)</f>
        <v>#REF!</v>
      </c>
      <c r="I62" s="7"/>
    </row>
    <row r="63" spans="2:9" ht="18.75" customHeight="1" x14ac:dyDescent="0.2">
      <c r="B63" s="15" t="s">
        <v>62</v>
      </c>
      <c r="C63" s="25" t="str">
        <f>+VLOOKUP($B63,'CSM  PRICE LIST 26.1.3'!$A$2:$E$110,2,FALSE)</f>
        <v>RIDER</v>
      </c>
      <c r="D63" s="32" t="str">
        <f>+VLOOKUP($B63,'CSM  PRICE LIST 26.1.3'!$A$2:$E$110,3,FALSE)</f>
        <v>KIZ ÇOCUK UZUN KOL FERMUARLI T-SHIRT</v>
      </c>
      <c r="E63" s="16">
        <f>+VLOOKUP($B63,'MASTER PRICE LIST'!$B$9:$K$117,4,FALSE)</f>
        <v>69.900000000000006</v>
      </c>
      <c r="F63" s="9">
        <f>+VLOOKUP($B63,'MASTER PRICE LIST'!$B$9:$K$117,5,FALSE)</f>
        <v>3840</v>
      </c>
      <c r="G63" s="10">
        <f t="shared" si="1"/>
        <v>1920</v>
      </c>
      <c r="H63" s="81" t="e">
        <f>+VLOOKUP($B63,'CSM  PRICE LIST 26.1.3'!$A:$G,8,FALSE)</f>
        <v>#REF!</v>
      </c>
      <c r="I63" s="7"/>
    </row>
    <row r="64" spans="2:9" ht="18.75" customHeight="1" x14ac:dyDescent="0.2">
      <c r="B64" s="15" t="s">
        <v>58</v>
      </c>
      <c r="C64" s="25" t="str">
        <f>+VLOOKUP($B64,'CSM  PRICE LIST 26.1.3'!$A$2:$E$110,2,FALSE)</f>
        <v>RIDER</v>
      </c>
      <c r="D64" s="32" t="str">
        <f>+VLOOKUP($B64,'CSM  PRICE LIST 26.1.3'!$A$2:$E$110,3,FALSE)</f>
        <v>KADIN TECH T-SHIRT</v>
      </c>
      <c r="E64" s="16">
        <f>+VLOOKUP($B64,'MASTER PRICE LIST'!$B$9:$K$117,4,FALSE)</f>
        <v>69.900000000000006</v>
      </c>
      <c r="F64" s="9">
        <f>+VLOOKUP($B64,'MASTER PRICE LIST'!$B$9:$K$117,5,FALSE)</f>
        <v>3840</v>
      </c>
      <c r="G64" s="10">
        <f t="shared" si="1"/>
        <v>1920</v>
      </c>
      <c r="H64" s="81" t="e">
        <f>+VLOOKUP($B64,'CSM  PRICE LIST 26.1.3'!$A:$G,8,FALSE)</f>
        <v>#REF!</v>
      </c>
      <c r="I64" s="7"/>
    </row>
    <row r="65" spans="2:9" ht="18.75" customHeight="1" x14ac:dyDescent="0.2">
      <c r="B65" s="15" t="s">
        <v>57</v>
      </c>
      <c r="C65" s="25" t="str">
        <f>+VLOOKUP($B65,'CSM  PRICE LIST 26.1.3'!$A$2:$E$110,2,FALSE)</f>
        <v>RIDER</v>
      </c>
      <c r="D65" s="32" t="str">
        <f>+VLOOKUP($B65,'CSM  PRICE LIST 26.1.3'!$A$2:$E$110,3,FALSE)</f>
        <v>KADIN SOFT ANTRENMAN POLO</v>
      </c>
      <c r="E65" s="16">
        <f>+VLOOKUP($B65,'MASTER PRICE LIST'!$B$9:$K$117,4,FALSE)</f>
        <v>69.900000000000006</v>
      </c>
      <c r="F65" s="9">
        <f>+VLOOKUP($B65,'MASTER PRICE LIST'!$B$9:$K$117,5,FALSE)</f>
        <v>3840</v>
      </c>
      <c r="G65" s="10">
        <f t="shared" si="1"/>
        <v>1920</v>
      </c>
      <c r="H65" s="81" t="e">
        <f>+VLOOKUP($B65,'CSM  PRICE LIST 26.1.3'!$A:$G,8,FALSE)</f>
        <v>#REF!</v>
      </c>
      <c r="I65" s="7"/>
    </row>
    <row r="66" spans="2:9" ht="18.75" customHeight="1" x14ac:dyDescent="0.2">
      <c r="B66" s="15" t="s">
        <v>52</v>
      </c>
      <c r="C66" s="25" t="str">
        <f>+VLOOKUP($B66,'CSM  PRICE LIST 26.1.3'!$A$2:$E$110,2,FALSE)</f>
        <v>RIDER</v>
      </c>
      <c r="D66" s="32" t="str">
        <f>+VLOOKUP($B66,'CSM  PRICE LIST 26.1.3'!$A$2:$E$110,3,FALSE)</f>
        <v xml:space="preserve">ERKEK KISA KOL SOFT ANTRENMAN POLO </v>
      </c>
      <c r="E66" s="16">
        <f>+VLOOKUP($B66,'MASTER PRICE LIST'!$B$9:$K$117,4,FALSE)</f>
        <v>69.900000000000006</v>
      </c>
      <c r="F66" s="9">
        <f>+VLOOKUP($B66,'MASTER PRICE LIST'!$B$9:$K$117,5,FALSE)</f>
        <v>3840</v>
      </c>
      <c r="G66" s="10">
        <f t="shared" si="1"/>
        <v>1920</v>
      </c>
      <c r="H66" s="81" t="e">
        <f>+VLOOKUP($B66,'CSM  PRICE LIST 26.1.3'!$A:$G,8,FALSE)</f>
        <v>#REF!</v>
      </c>
      <c r="I66" s="7"/>
    </row>
    <row r="67" spans="2:9" ht="18.75" customHeight="1" x14ac:dyDescent="0.2">
      <c r="B67" s="15" t="s">
        <v>77</v>
      </c>
      <c r="C67" s="25" t="str">
        <f>+VLOOKUP($B67,'CSM  PRICE LIST 26.1.3'!$A$2:$E$110,2,FALSE)</f>
        <v>RIDER</v>
      </c>
      <c r="D67" s="32" t="str">
        <f>+VLOOKUP($B67,'CSM  PRICE LIST 26.1.3'!$A$2:$E$110,3,FALSE)</f>
        <v>KIZ ÇOCUK KISA KOL YARIŞMA POLO</v>
      </c>
      <c r="E67" s="16">
        <f>+VLOOKUP($B67,'MASTER PRICE LIST'!$B$9:$K$117,4,FALSE)</f>
        <v>69.900000000000006</v>
      </c>
      <c r="F67" s="9">
        <f>+VLOOKUP($B67,'MASTER PRICE LIST'!$B$9:$K$117,5,FALSE)</f>
        <v>3840</v>
      </c>
      <c r="G67" s="10">
        <f t="shared" si="1"/>
        <v>1920</v>
      </c>
      <c r="H67" s="81" t="e">
        <f>+VLOOKUP($B67,'CSM  PRICE LIST 26.1.3'!$A:$G,8,FALSE)</f>
        <v>#REF!</v>
      </c>
      <c r="I67" s="7"/>
    </row>
    <row r="68" spans="2:9" ht="18.75" customHeight="1" x14ac:dyDescent="0.2">
      <c r="B68" s="15" t="s">
        <v>41</v>
      </c>
      <c r="C68" s="25" t="str">
        <f>+VLOOKUP($B68,'CSM  PRICE LIST 26.1.3'!$A$2:$E$110,2,FALSE)</f>
        <v>RIDER</v>
      </c>
      <c r="D68" s="32" t="str">
        <f>+VLOOKUP($B68,'CSM  PRICE LIST 26.1.3'!$A$2:$E$110,3,FALSE)</f>
        <v>KIZ ÇOCUK UZUN KOL YARIŞMA POLO</v>
      </c>
      <c r="E68" s="16">
        <f>+VLOOKUP($B68,'MASTER PRICE LIST'!$B$9:$K$117,4,FALSE)</f>
        <v>69.900000000000006</v>
      </c>
      <c r="F68" s="9">
        <f>+VLOOKUP($B68,'MASTER PRICE LIST'!$B$9:$K$117,5,FALSE)</f>
        <v>3840</v>
      </c>
      <c r="G68" s="10">
        <f t="shared" si="1"/>
        <v>1920</v>
      </c>
      <c r="H68" s="81" t="e">
        <f>+VLOOKUP($B68,'CSM  PRICE LIST 26.1.3'!$A:$G,8,FALSE)</f>
        <v>#REF!</v>
      </c>
      <c r="I68" s="7"/>
    </row>
    <row r="69" spans="2:9" ht="18.75" customHeight="1" x14ac:dyDescent="0.2">
      <c r="B69" s="15" t="s">
        <v>36</v>
      </c>
      <c r="C69" s="25" t="str">
        <f>+VLOOKUP($B69,'CSM  PRICE LIST 26.1.3'!$A$2:$E$110,2,FALSE)</f>
        <v>RIDER</v>
      </c>
      <c r="D69" s="32" t="str">
        <f>+VLOOKUP($B69,'CSM  PRICE LIST 26.1.3'!$A$2:$E$110,3,FALSE)</f>
        <v>ERKEK ÇOCUK UZUN KOL YARIŞMA POLO</v>
      </c>
      <c r="E69" s="16">
        <f>+VLOOKUP($B69,'MASTER PRICE LIST'!$B$9:$K$117,4,FALSE)</f>
        <v>69.900000000000006</v>
      </c>
      <c r="F69" s="9">
        <f>+VLOOKUP($B69,'MASTER PRICE LIST'!$B$9:$K$117,5,FALSE)</f>
        <v>3840</v>
      </c>
      <c r="G69" s="10">
        <f t="shared" si="1"/>
        <v>1920</v>
      </c>
      <c r="H69" s="81" t="e">
        <f>+VLOOKUP($B69,'CSM  PRICE LIST 26.1.3'!$A:$G,8,FALSE)</f>
        <v>#REF!</v>
      </c>
      <c r="I69" s="7"/>
    </row>
    <row r="70" spans="2:9" ht="18.75" customHeight="1" x14ac:dyDescent="0.2">
      <c r="B70" s="15" t="s">
        <v>37</v>
      </c>
      <c r="C70" s="25" t="str">
        <f>+VLOOKUP($B70,'CSM  PRICE LIST 26.1.3'!$A$2:$E$110,2,FALSE)</f>
        <v>RIDER</v>
      </c>
      <c r="D70" s="32" t="str">
        <f>+VLOOKUP($B70,'CSM  PRICE LIST 26.1.3'!$A$2:$E$110,3,FALSE)</f>
        <v>ERKEK ÇOCUK UZUN KOL YARIŞMA POLO</v>
      </c>
      <c r="E70" s="16">
        <f>+VLOOKUP($B70,'MASTER PRICE LIST'!$B$9:$K$117,4,FALSE)</f>
        <v>69.900000000000006</v>
      </c>
      <c r="F70" s="9">
        <f>+VLOOKUP($B70,'MASTER PRICE LIST'!$B$9:$K$117,5,FALSE)</f>
        <v>3840</v>
      </c>
      <c r="G70" s="10">
        <f t="shared" si="1"/>
        <v>1920</v>
      </c>
      <c r="H70" s="81" t="e">
        <f>+VLOOKUP($B70,'CSM  PRICE LIST 26.1.3'!$A:$G,8,FALSE)</f>
        <v>#REF!</v>
      </c>
      <c r="I70" s="7"/>
    </row>
    <row r="71" spans="2:9" ht="18.75" customHeight="1" x14ac:dyDescent="0.2">
      <c r="B71" s="15" t="s">
        <v>79</v>
      </c>
      <c r="C71" s="25" t="str">
        <f>+VLOOKUP($B71,'CSM  PRICE LIST 26.1.3'!$A$2:$E$110,2,FALSE)</f>
        <v>RIDER</v>
      </c>
      <c r="D71" s="32" t="str">
        <f>+VLOOKUP($B71,'CSM  PRICE LIST 26.1.3'!$A$2:$E$110,3,FALSE)</f>
        <v>KIZ ÇOCUK KISA KOL YARIŞMA POLO</v>
      </c>
      <c r="E71" s="16">
        <f>+VLOOKUP($B71,'MASTER PRICE LIST'!$B$9:$K$117,4,FALSE)</f>
        <v>69.900000000000006</v>
      </c>
      <c r="F71" s="9">
        <f>+VLOOKUP($B71,'MASTER PRICE LIST'!$B$9:$K$117,5,FALSE)</f>
        <v>3840</v>
      </c>
      <c r="G71" s="10">
        <f t="shared" si="1"/>
        <v>1920</v>
      </c>
      <c r="H71" s="81" t="e">
        <f>+VLOOKUP($B71,'CSM  PRICE LIST 26.1.3'!$A:$G,8,FALSE)</f>
        <v>#REF!</v>
      </c>
      <c r="I71" s="7"/>
    </row>
    <row r="72" spans="2:9" ht="18.75" customHeight="1" x14ac:dyDescent="0.2">
      <c r="B72" s="15" t="s">
        <v>43</v>
      </c>
      <c r="C72" s="25" t="str">
        <f>+VLOOKUP($B72,'CSM  PRICE LIST 26.1.3'!$A$2:$E$110,2,FALSE)</f>
        <v>RIDER</v>
      </c>
      <c r="D72" s="32" t="str">
        <f>+VLOOKUP($B72,'CSM  PRICE LIST 26.1.3'!$A$2:$E$110,3,FALSE)</f>
        <v>KIZ ÇOCUK KISA KOL YARIŞMA POLO</v>
      </c>
      <c r="E72" s="16">
        <f>+VLOOKUP($B72,'MASTER PRICE LIST'!$B$9:$K$117,4,FALSE)</f>
        <v>69.900000000000006</v>
      </c>
      <c r="F72" s="9">
        <f>+VLOOKUP($B72,'MASTER PRICE LIST'!$B$9:$K$117,5,FALSE)</f>
        <v>3840</v>
      </c>
      <c r="G72" s="10">
        <f t="shared" si="1"/>
        <v>1920</v>
      </c>
      <c r="H72" s="81" t="e">
        <f>+VLOOKUP($B72,'CSM  PRICE LIST 26.1.3'!$A:$G,8,FALSE)</f>
        <v>#REF!</v>
      </c>
      <c r="I72" s="7"/>
    </row>
    <row r="73" spans="2:9" ht="18.75" customHeight="1" x14ac:dyDescent="0.2">
      <c r="B73" s="15" t="s">
        <v>55</v>
      </c>
      <c r="C73" s="25" t="str">
        <f>+VLOOKUP($B73,'CSM  PRICE LIST 26.1.3'!$A$2:$E$110,2,FALSE)</f>
        <v>RIDER</v>
      </c>
      <c r="D73" s="32" t="str">
        <f>+VLOOKUP($B73,'CSM  PRICE LIST 26.1.3'!$A$2:$E$110,3,FALSE)</f>
        <v>KADIN KISA KOL YARIŞMA POLO</v>
      </c>
      <c r="E73" s="16">
        <f>+VLOOKUP($B73,'MASTER PRICE LIST'!$B$9:$K$117,4,FALSE)</f>
        <v>89.9</v>
      </c>
      <c r="F73" s="9">
        <f>+VLOOKUP($B73,'MASTER PRICE LIST'!$B$9:$K$117,5,FALSE)</f>
        <v>4940</v>
      </c>
      <c r="G73" s="10">
        <f t="shared" si="1"/>
        <v>2470</v>
      </c>
      <c r="H73" s="81" t="e">
        <f>+VLOOKUP($B73,'CSM  PRICE LIST 26.1.3'!$A:$G,8,FALSE)</f>
        <v>#REF!</v>
      </c>
      <c r="I73" s="7"/>
    </row>
    <row r="74" spans="2:9" ht="18.75" customHeight="1" x14ac:dyDescent="0.2">
      <c r="B74" s="15" t="s">
        <v>49</v>
      </c>
      <c r="C74" s="25" t="str">
        <f>+VLOOKUP($B74,'CSM  PRICE LIST 26.1.3'!$A$2:$E$110,2,FALSE)</f>
        <v>RIDER</v>
      </c>
      <c r="D74" s="32" t="str">
        <f>+VLOOKUP($B74,'CSM  PRICE LIST 26.1.3'!$A$2:$E$110,3,FALSE)</f>
        <v>ERKEK KISA KOL YARIŞMA POLO</v>
      </c>
      <c r="E74" s="16">
        <f>+VLOOKUP($B74,'MASTER PRICE LIST'!$B$9:$K$117,4,FALSE)</f>
        <v>89.9</v>
      </c>
      <c r="F74" s="9">
        <f>+VLOOKUP($B74,'MASTER PRICE LIST'!$B$9:$K$117,5,FALSE)</f>
        <v>4940</v>
      </c>
      <c r="G74" s="10">
        <f t="shared" si="1"/>
        <v>2470</v>
      </c>
      <c r="H74" s="81" t="e">
        <f>+VLOOKUP($B74,'CSM  PRICE LIST 26.1.3'!$A:$G,8,FALSE)</f>
        <v>#REF!</v>
      </c>
      <c r="I74" s="7"/>
    </row>
    <row r="75" spans="2:9" ht="18.75" customHeight="1" x14ac:dyDescent="0.2">
      <c r="B75" s="15" t="s">
        <v>80</v>
      </c>
      <c r="C75" s="25" t="str">
        <f>+VLOOKUP($B75,'CSM  PRICE LIST 26.1.3'!$A$2:$E$110,2,FALSE)</f>
        <v>RIDER</v>
      </c>
      <c r="D75" s="32" t="str">
        <f>+VLOOKUP($B75,'CSM  PRICE LIST 26.1.3'!$A$2:$E$110,3,FALSE)</f>
        <v>KADIN KISA KOL TEKNİK ANTRENMAN POLO</v>
      </c>
      <c r="E75" s="16">
        <f>+VLOOKUP($B75,'MASTER PRICE LIST'!$B$9:$K$117,4,FALSE)</f>
        <v>89.9</v>
      </c>
      <c r="F75" s="9">
        <f>+VLOOKUP($B75,'MASTER PRICE LIST'!$B$9:$K$117,5,FALSE)</f>
        <v>4940</v>
      </c>
      <c r="G75" s="10">
        <f t="shared" ref="G75:G112" si="2">+F75*0.5</f>
        <v>2470</v>
      </c>
      <c r="H75" s="81" t="e">
        <f>+VLOOKUP($B75,'CSM  PRICE LIST 26.1.3'!$A:$G,8,FALSE)</f>
        <v>#REF!</v>
      </c>
      <c r="I75" s="7"/>
    </row>
    <row r="76" spans="2:9" ht="18.75" customHeight="1" x14ac:dyDescent="0.2">
      <c r="B76" s="15" t="s">
        <v>50</v>
      </c>
      <c r="C76" s="25" t="str">
        <f>+VLOOKUP($B76,'CSM  PRICE LIST 26.1.3'!$A$2:$E$110,2,FALSE)</f>
        <v>RIDER</v>
      </c>
      <c r="D76" s="32" t="str">
        <f>+VLOOKUP($B76,'CSM  PRICE LIST 26.1.3'!$A$2:$E$110,3,FALSE)</f>
        <v>ERKEK KISA KOL YARIŞMA POLO</v>
      </c>
      <c r="E76" s="16">
        <f>+VLOOKUP($B76,'MASTER PRICE LIST'!$B$9:$K$117,4,FALSE)</f>
        <v>89.9</v>
      </c>
      <c r="F76" s="9">
        <f>+VLOOKUP($B76,'MASTER PRICE LIST'!$B$9:$K$117,5,FALSE)</f>
        <v>4940</v>
      </c>
      <c r="G76" s="10">
        <f t="shared" si="2"/>
        <v>2470</v>
      </c>
      <c r="H76" s="81" t="e">
        <f>+VLOOKUP($B76,'CSM  PRICE LIST 26.1.3'!$A:$G,8,FALSE)</f>
        <v>#REF!</v>
      </c>
      <c r="I76" s="7"/>
    </row>
    <row r="77" spans="2:9" ht="18.75" customHeight="1" x14ac:dyDescent="0.2">
      <c r="B77" s="15" t="s">
        <v>30</v>
      </c>
      <c r="C77" s="25" t="str">
        <f>+VLOOKUP($B77,'CSM  PRICE LIST 26.1.3'!$A$2:$E$110,2,FALSE)</f>
        <v>RIDER</v>
      </c>
      <c r="D77" s="32" t="str">
        <f>+VLOOKUP($B77,'CSM  PRICE LIST 26.1.3'!$A$2:$E$110,3,FALSE)</f>
        <v>ÇOCUK ŞİŞME YELEK</v>
      </c>
      <c r="E77" s="16">
        <f>+VLOOKUP($B77,'MASTER PRICE LIST'!$B$9:$K$117,4,FALSE)</f>
        <v>89.9</v>
      </c>
      <c r="F77" s="9">
        <f>+VLOOKUP($B77,'MASTER PRICE LIST'!$B$9:$K$117,5,FALSE)</f>
        <v>4940</v>
      </c>
      <c r="G77" s="10">
        <f t="shared" si="2"/>
        <v>2470</v>
      </c>
      <c r="H77" s="81" t="e">
        <f>+VLOOKUP($B77,'CSM  PRICE LIST 26.1.3'!$A:$G,8,FALSE)</f>
        <v>#REF!</v>
      </c>
      <c r="I77" s="7"/>
    </row>
    <row r="78" spans="2:9" ht="18.75" customHeight="1" x14ac:dyDescent="0.2">
      <c r="B78" s="15" t="s">
        <v>81</v>
      </c>
      <c r="C78" s="25" t="str">
        <f>+VLOOKUP($B78,'CSM  PRICE LIST 26.1.3'!$A$2:$E$110,2,FALSE)</f>
        <v>RIDER</v>
      </c>
      <c r="D78" s="32" t="str">
        <f>+VLOOKUP($B78,'CSM  PRICE LIST 26.1.3'!$A$2:$E$110,3,FALSE)</f>
        <v>ERKEK KISA KOL TEKNİK ANTRENMAN POLO</v>
      </c>
      <c r="E78" s="16">
        <f>+VLOOKUP($B78,'MASTER PRICE LIST'!$B$9:$K$117,4,FALSE)</f>
        <v>89.9</v>
      </c>
      <c r="F78" s="9">
        <f>+VLOOKUP($B78,'MASTER PRICE LIST'!$B$9:$K$117,5,FALSE)</f>
        <v>4940</v>
      </c>
      <c r="G78" s="10">
        <f t="shared" si="2"/>
        <v>2470</v>
      </c>
      <c r="H78" s="81" t="e">
        <f>+VLOOKUP($B78,'CSM  PRICE LIST 26.1.3'!$A:$G,8,FALSE)</f>
        <v>#REF!</v>
      </c>
      <c r="I78" s="7"/>
    </row>
    <row r="79" spans="2:9" ht="18.75" customHeight="1" x14ac:dyDescent="0.2">
      <c r="B79" s="15" t="s">
        <v>84</v>
      </c>
      <c r="C79" s="25" t="str">
        <f>+VLOOKUP($B79,'CSM  PRICE LIST 26.1.3'!$A$2:$E$110,2,FALSE)</f>
        <v>RIDER</v>
      </c>
      <c r="D79" s="32" t="str">
        <f>+VLOOKUP($B79,'CSM  PRICE LIST 26.1.3'!$A$2:$E$110,3,FALSE)</f>
        <v>ERKEK KISA KOL YARIŞMA POLO</v>
      </c>
      <c r="E79" s="16">
        <f>+VLOOKUP($B79,'MASTER PRICE LIST'!$B$9:$K$117,4,FALSE)</f>
        <v>89.9</v>
      </c>
      <c r="F79" s="9">
        <f>+VLOOKUP($B79,'MASTER PRICE LIST'!$B$9:$K$117,5,FALSE)</f>
        <v>4940</v>
      </c>
      <c r="G79" s="10">
        <f t="shared" si="2"/>
        <v>2470</v>
      </c>
      <c r="H79" s="81" t="e">
        <f>+VLOOKUP($B79,'CSM  PRICE LIST 26.1.3'!$A:$G,8,FALSE)</f>
        <v>#REF!</v>
      </c>
      <c r="I79" s="7"/>
    </row>
    <row r="80" spans="2:9" ht="18.75" customHeight="1" x14ac:dyDescent="0.2">
      <c r="B80" s="15" t="s">
        <v>33</v>
      </c>
      <c r="C80" s="25" t="str">
        <f>+VLOOKUP($B80,'CSM  PRICE LIST 26.1.3'!$A$2:$E$110,2,FALSE)</f>
        <v>RIDER</v>
      </c>
      <c r="D80" s="32" t="str">
        <f>+VLOOKUP($B80,'CSM  PRICE LIST 26.1.3'!$A$2:$E$110,3,FALSE)</f>
        <v>ÇOCUK POLAR HIRKA</v>
      </c>
      <c r="E80" s="16">
        <f>+VLOOKUP($B80,'MASTER PRICE LIST'!$B$9:$K$117,4,FALSE)</f>
        <v>99.9</v>
      </c>
      <c r="F80" s="9">
        <f>+VLOOKUP($B80,'MASTER PRICE LIST'!$B$9:$K$117,5,FALSE)</f>
        <v>5490</v>
      </c>
      <c r="G80" s="10">
        <f t="shared" si="2"/>
        <v>2745</v>
      </c>
      <c r="H80" s="81" t="e">
        <f>+VLOOKUP($B80,'CSM  PRICE LIST 26.1.3'!$A:$G,8,FALSE)</f>
        <v>#REF!</v>
      </c>
      <c r="I80" s="7"/>
    </row>
    <row r="81" spans="2:9" ht="18.75" customHeight="1" x14ac:dyDescent="0.2">
      <c r="B81" s="15" t="s">
        <v>53</v>
      </c>
      <c r="C81" s="25" t="str">
        <f>+VLOOKUP($B81,'CSM  PRICE LIST 26.1.3'!$A$2:$E$110,2,FALSE)</f>
        <v>RIDER</v>
      </c>
      <c r="D81" s="32" t="str">
        <f>+VLOOKUP($B81,'CSM  PRICE LIST 26.1.3'!$A$2:$E$110,3,FALSE)</f>
        <v>KADIN UZUN KOL FERMUARLI T-SHIRT</v>
      </c>
      <c r="E81" s="16">
        <f>+VLOOKUP($B81,'MASTER PRICE LIST'!$B$9:$K$117,4,FALSE)</f>
        <v>99.9</v>
      </c>
      <c r="F81" s="9">
        <f>+VLOOKUP($B81,'MASTER PRICE LIST'!$B$9:$K$117,5,FALSE)</f>
        <v>5490</v>
      </c>
      <c r="G81" s="10">
        <f t="shared" si="2"/>
        <v>2745</v>
      </c>
      <c r="H81" s="81" t="e">
        <f>+VLOOKUP($B81,'CSM  PRICE LIST 26.1.3'!$A:$G,8,FALSE)</f>
        <v>#REF!</v>
      </c>
      <c r="I81" s="7"/>
    </row>
    <row r="82" spans="2:9" ht="18.75" customHeight="1" x14ac:dyDescent="0.2">
      <c r="B82" s="15" t="s">
        <v>153</v>
      </c>
      <c r="C82" s="25" t="str">
        <f>+VLOOKUP($B82,'CSM  PRICE LIST 26.1.3'!$A$2:$E$110,2,FALSE)</f>
        <v>RIDER</v>
      </c>
      <c r="D82" s="32" t="str">
        <f>+VLOOKUP($B82,'CSM  PRICE LIST 26.1.3'!$A$2:$E$110,3,FALSE)</f>
        <v>STRASS TAŞ DETAYLI KADIN UZUN KOL FERMUARLI T-SHIRT</v>
      </c>
      <c r="E82" s="16">
        <f>+VLOOKUP($B82,'MASTER PRICE LIST'!$B$9:$K$117,4,FALSE)</f>
        <v>119.9</v>
      </c>
      <c r="F82" s="9">
        <f>+VLOOKUP($B82,'MASTER PRICE LIST'!$B$9:$K$117,5,FALSE)</f>
        <v>6590</v>
      </c>
      <c r="G82" s="10">
        <f t="shared" ref="G82" si="3">+F82*0.5</f>
        <v>3295</v>
      </c>
      <c r="H82" s="81"/>
      <c r="I82" s="7"/>
    </row>
    <row r="83" spans="2:9" ht="18.75" customHeight="1" x14ac:dyDescent="0.2">
      <c r="B83" s="15" t="s">
        <v>31</v>
      </c>
      <c r="C83" s="25" t="str">
        <f>+VLOOKUP($B83,'CSM  PRICE LIST 26.1.3'!$A$2:$E$110,2,FALSE)</f>
        <v>RIDER</v>
      </c>
      <c r="D83" s="32" t="str">
        <f>+VLOOKUP($B83,'CSM  PRICE LIST 26.1.3'!$A$2:$E$110,3,FALSE)</f>
        <v>ERKEK ŞİŞME YELEK</v>
      </c>
      <c r="E83" s="16">
        <f>+VLOOKUP($B83,'MASTER PRICE LIST'!$B$9:$K$117,4,FALSE)</f>
        <v>99.9</v>
      </c>
      <c r="F83" s="9">
        <f>+VLOOKUP($B83,'MASTER PRICE LIST'!$B$9:$K$117,5,FALSE)</f>
        <v>5490</v>
      </c>
      <c r="G83" s="10">
        <f t="shared" si="2"/>
        <v>2745</v>
      </c>
      <c r="H83" s="81" t="e">
        <f>+VLOOKUP($B83,'CSM  PRICE LIST 26.1.3'!$A:$G,8,FALSE)</f>
        <v>#REF!</v>
      </c>
      <c r="I83" s="7"/>
    </row>
    <row r="84" spans="2:9" ht="18.75" customHeight="1" x14ac:dyDescent="0.2">
      <c r="B84" s="15" t="s">
        <v>32</v>
      </c>
      <c r="C84" s="25" t="str">
        <f>+VLOOKUP($B84,'CSM  PRICE LIST 26.1.3'!$A$2:$E$110,2,FALSE)</f>
        <v>RIDER</v>
      </c>
      <c r="D84" s="32" t="str">
        <f>+VLOOKUP($B84,'CSM  PRICE LIST 26.1.3'!$A$2:$E$110,3,FALSE)</f>
        <v>KADIN ŞİŞME YELEK</v>
      </c>
      <c r="E84" s="16">
        <f>+VLOOKUP($B84,'MASTER PRICE LIST'!$B$9:$K$117,4,FALSE)</f>
        <v>99.9</v>
      </c>
      <c r="F84" s="9">
        <f>+VLOOKUP($B84,'MASTER PRICE LIST'!$B$9:$K$117,5,FALSE)</f>
        <v>5490</v>
      </c>
      <c r="G84" s="10">
        <f t="shared" si="2"/>
        <v>2745</v>
      </c>
      <c r="H84" s="81" t="e">
        <f>+VLOOKUP($B84,'CSM  PRICE LIST 26.1.3'!$A:$G,8,FALSE)</f>
        <v>#REF!</v>
      </c>
      <c r="I84" s="7"/>
    </row>
    <row r="85" spans="2:9" ht="18.75" customHeight="1" x14ac:dyDescent="0.2">
      <c r="B85" s="15" t="s">
        <v>34</v>
      </c>
      <c r="C85" s="25" t="str">
        <f>+VLOOKUP($B85,'CSM  PRICE LIST 26.1.3'!$A$2:$E$110,2,FALSE)</f>
        <v>RIDER</v>
      </c>
      <c r="D85" s="32" t="str">
        <f>+VLOOKUP($B85,'CSM  PRICE LIST 26.1.3'!$A$2:$E$110,3,FALSE)</f>
        <v>ERKEK POLAR HIRKA</v>
      </c>
      <c r="E85" s="16">
        <f>+VLOOKUP($B85,'MASTER PRICE LIST'!$B$9:$K$117,4,FALSE)</f>
        <v>99.9</v>
      </c>
      <c r="F85" s="9">
        <f>+VLOOKUP($B85,'MASTER PRICE LIST'!$B$9:$K$117,5,FALSE)</f>
        <v>5490</v>
      </c>
      <c r="G85" s="10">
        <f t="shared" si="2"/>
        <v>2745</v>
      </c>
      <c r="H85" s="81" t="e">
        <f>+VLOOKUP($B85,'CSM  PRICE LIST 26.1.3'!$A:$G,8,FALSE)</f>
        <v>#REF!</v>
      </c>
      <c r="I85" s="7"/>
    </row>
    <row r="86" spans="2:9" ht="18.75" customHeight="1" x14ac:dyDescent="0.2">
      <c r="B86" s="15" t="s">
        <v>44</v>
      </c>
      <c r="C86" s="25" t="str">
        <f>+VLOOKUP($B86,'CSM  PRICE LIST 26.1.3'!$A$2:$E$110,2,FALSE)</f>
        <v>RIDER</v>
      </c>
      <c r="D86" s="32" t="str">
        <f>+VLOOKUP($B86,'CSM  PRICE LIST 26.1.3'!$A$2:$E$110,3,FALSE)</f>
        <v>ERKEK UZUN KOL T-SHIRT</v>
      </c>
      <c r="E86" s="16">
        <f>+VLOOKUP($B86,'MASTER PRICE LIST'!$B$9:$K$117,4,FALSE)</f>
        <v>99.9</v>
      </c>
      <c r="F86" s="9">
        <f>+VLOOKUP($B86,'MASTER PRICE LIST'!$B$9:$K$117,5,FALSE)</f>
        <v>5490</v>
      </c>
      <c r="G86" s="10">
        <f t="shared" si="2"/>
        <v>2745</v>
      </c>
      <c r="H86" s="81" t="e">
        <f>+VLOOKUP($B86,'CSM  PRICE LIST 26.1.3'!$A:$G,8,FALSE)</f>
        <v>#REF!</v>
      </c>
      <c r="I86" s="7"/>
    </row>
    <row r="87" spans="2:9" ht="18.75" customHeight="1" x14ac:dyDescent="0.2">
      <c r="B87" s="15" t="s">
        <v>113</v>
      </c>
      <c r="C87" s="25" t="str">
        <f>+VLOOKUP($B87,'CSM  PRICE LIST 26.1.3'!$A$2:$E$110,2,FALSE)</f>
        <v>RIDER</v>
      </c>
      <c r="D87" s="32" t="str">
        <f>+VLOOKUP($B87,'CSM  PRICE LIST 26.1.3'!$A$2:$E$110,3,FALSE)</f>
        <v>KADIN KISA KOL YARIŞMA POLO X TEAM TÜRKİYE</v>
      </c>
      <c r="E87" s="16">
        <f>+VLOOKUP($B87,'MASTER PRICE LIST'!$B$9:$K$117,4,FALSE)</f>
        <v>99.9</v>
      </c>
      <c r="F87" s="9">
        <f>+VLOOKUP($B87,'MASTER PRICE LIST'!$B$9:$K$117,5,FALSE)</f>
        <v>5490</v>
      </c>
      <c r="G87" s="10">
        <f t="shared" si="2"/>
        <v>2745</v>
      </c>
      <c r="H87" s="81" t="e">
        <f>+VLOOKUP($B87,'CSM  PRICE LIST 26.1.3'!$A:$G,8,FALSE)</f>
        <v>#REF!</v>
      </c>
      <c r="I87" s="7"/>
    </row>
    <row r="88" spans="2:9" ht="18.75" customHeight="1" x14ac:dyDescent="0.2">
      <c r="B88" s="15" t="s">
        <v>114</v>
      </c>
      <c r="C88" s="25" t="str">
        <f>+VLOOKUP($B88,'CSM  PRICE LIST 26.1.3'!$A$2:$E$110,2,FALSE)</f>
        <v>RIDER</v>
      </c>
      <c r="D88" s="32" t="str">
        <f>+VLOOKUP($B88,'CSM  PRICE LIST 26.1.3'!$A$2:$E$110,3,FALSE)</f>
        <v>ERKEK KISA KOL YARIŞMA POLO X TEAM TÜRKİYE</v>
      </c>
      <c r="E88" s="16">
        <f>+VLOOKUP($B88,'MASTER PRICE LIST'!$B$9:$K$117,4,FALSE)</f>
        <v>99.9</v>
      </c>
      <c r="F88" s="9">
        <f>+VLOOKUP($B88,'MASTER PRICE LIST'!$B$9:$K$117,5,FALSE)</f>
        <v>5490</v>
      </c>
      <c r="G88" s="10">
        <f t="shared" si="2"/>
        <v>2745</v>
      </c>
      <c r="H88" s="81" t="e">
        <f>+VLOOKUP($B88,'CSM  PRICE LIST 26.1.3'!$A:$G,8,FALSE)</f>
        <v>#REF!</v>
      </c>
      <c r="I88" s="7"/>
    </row>
    <row r="89" spans="2:9" ht="18.75" customHeight="1" x14ac:dyDescent="0.2">
      <c r="B89" s="15" t="s">
        <v>45</v>
      </c>
      <c r="C89" s="25" t="str">
        <f>+VLOOKUP($B89,'CSM  PRICE LIST 26.1.3'!$A$2:$E$110,2,FALSE)</f>
        <v>RIDER</v>
      </c>
      <c r="D89" s="32" t="str">
        <f>+VLOOKUP($B89,'CSM  PRICE LIST 26.1.3'!$A$2:$E$110,3,FALSE)</f>
        <v>ERKEK UZUN KOL FERMUARLI T-SHIRT</v>
      </c>
      <c r="E89" s="16">
        <f>+VLOOKUP($B89,'MASTER PRICE LIST'!$B$9:$K$117,4,FALSE)</f>
        <v>99.9</v>
      </c>
      <c r="F89" s="9">
        <f>+VLOOKUP($B89,'MASTER PRICE LIST'!$B$9:$K$117,5,FALSE)</f>
        <v>5490</v>
      </c>
      <c r="G89" s="10">
        <f t="shared" si="2"/>
        <v>2745</v>
      </c>
      <c r="H89" s="81" t="e">
        <f>+VLOOKUP($B89,'CSM  PRICE LIST 26.1.3'!$A:$G,8,FALSE)</f>
        <v>#REF!</v>
      </c>
      <c r="I89" s="7"/>
    </row>
    <row r="90" spans="2:9" ht="18.75" customHeight="1" x14ac:dyDescent="0.2">
      <c r="B90" s="15" t="s">
        <v>67</v>
      </c>
      <c r="C90" s="25" t="str">
        <f>+VLOOKUP($B90,'CSM  PRICE LIST 26.1.3'!$A$2:$E$110,2,FALSE)</f>
        <v>RIDER</v>
      </c>
      <c r="D90" s="32" t="str">
        <f>+VLOOKUP($B90,'CSM  PRICE LIST 26.1.3'!$A$2:$E$110,3,FALSE)</f>
        <v>KIZ ÇOCUK FULL GRIP PRO BİNİCİ TAYTI</v>
      </c>
      <c r="E90" s="16">
        <f>+VLOOKUP($B90,'MASTER PRICE LIST'!$B$9:$K$117,4,FALSE)</f>
        <v>99.9</v>
      </c>
      <c r="F90" s="9">
        <f>+VLOOKUP($B90,'MASTER PRICE LIST'!$B$9:$K$117,5,FALSE)</f>
        <v>5490</v>
      </c>
      <c r="G90" s="10">
        <f t="shared" si="2"/>
        <v>2745</v>
      </c>
      <c r="H90" s="81" t="e">
        <f>+VLOOKUP($B90,'CSM  PRICE LIST 26.1.3'!$A:$G,8,FALSE)</f>
        <v>#REF!</v>
      </c>
      <c r="I90" s="7"/>
    </row>
    <row r="91" spans="2:9" ht="18.75" customHeight="1" x14ac:dyDescent="0.2">
      <c r="B91" s="15" t="s">
        <v>35</v>
      </c>
      <c r="C91" s="25" t="str">
        <f>+VLOOKUP($B91,'CSM  PRICE LIST 26.1.3'!$A$2:$E$110,2,FALSE)</f>
        <v>RIDER</v>
      </c>
      <c r="D91" s="32" t="str">
        <f>+VLOOKUP($B91,'CSM  PRICE LIST 26.1.3'!$A$2:$E$110,3,FALSE)</f>
        <v>ERKEK SWEAT HIRKA</v>
      </c>
      <c r="E91" s="16">
        <f>+VLOOKUP($B91,'MASTER PRICE LIST'!$B$9:$K$117,4,FALSE)</f>
        <v>99.9</v>
      </c>
      <c r="F91" s="9">
        <f>+VLOOKUP($B91,'MASTER PRICE LIST'!$B$9:$K$117,5,FALSE)</f>
        <v>5490</v>
      </c>
      <c r="G91" s="10">
        <f t="shared" si="2"/>
        <v>2745</v>
      </c>
      <c r="H91" s="81" t="e">
        <f>+VLOOKUP($B91,'CSM  PRICE LIST 26.1.3'!$A:$G,8,FALSE)</f>
        <v>#REF!</v>
      </c>
      <c r="I91" s="7"/>
    </row>
    <row r="92" spans="2:9" ht="18.75" customHeight="1" x14ac:dyDescent="0.2">
      <c r="B92" s="15" t="s">
        <v>46</v>
      </c>
      <c r="C92" s="25" t="str">
        <f>+VLOOKUP($B92,'CSM  PRICE LIST 26.1.3'!$A$2:$E$110,2,FALSE)</f>
        <v>RIDER</v>
      </c>
      <c r="D92" s="32" t="str">
        <f>+VLOOKUP($B92,'CSM  PRICE LIST 26.1.3'!$A$2:$E$110,3,FALSE)</f>
        <v>ERKEK UZUN KOL T-SHIRT</v>
      </c>
      <c r="E92" s="16">
        <f>+VLOOKUP($B92,'MASTER PRICE LIST'!$B$9:$K$117,4,FALSE)</f>
        <v>99.9</v>
      </c>
      <c r="F92" s="9">
        <f>+VLOOKUP($B92,'MASTER PRICE LIST'!$B$9:$K$117,5,FALSE)</f>
        <v>5490</v>
      </c>
      <c r="G92" s="10">
        <f t="shared" si="2"/>
        <v>2745</v>
      </c>
      <c r="H92" s="81" t="e">
        <f>+VLOOKUP($B92,'CSM  PRICE LIST 26.1.3'!$A:$G,8,FALSE)</f>
        <v>#REF!</v>
      </c>
      <c r="I92" s="7"/>
    </row>
    <row r="93" spans="2:9" ht="18.75" customHeight="1" x14ac:dyDescent="0.2">
      <c r="B93" s="15" t="s">
        <v>54</v>
      </c>
      <c r="C93" s="25" t="str">
        <f>+VLOOKUP($B93,'CSM  PRICE LIST 26.1.3'!$A$2:$E$110,2,FALSE)</f>
        <v>RIDER</v>
      </c>
      <c r="D93" s="32" t="str">
        <f>+VLOOKUP($B93,'CSM  PRICE LIST 26.1.3'!$A$2:$E$110,3,FALSE)</f>
        <v>KADIN UZUN KOL YARIŞMA POLO</v>
      </c>
      <c r="E93" s="16">
        <f>+VLOOKUP($B93,'MASTER PRICE LIST'!$B$9:$K$117,4,FALSE)</f>
        <v>99.9</v>
      </c>
      <c r="F93" s="9">
        <f>+VLOOKUP($B93,'MASTER PRICE LIST'!$B$9:$K$117,5,FALSE)</f>
        <v>5490</v>
      </c>
      <c r="G93" s="10">
        <f t="shared" si="2"/>
        <v>2745</v>
      </c>
      <c r="H93" s="81" t="e">
        <f>+VLOOKUP($B93,'CSM  PRICE LIST 26.1.3'!$A:$G,8,FALSE)</f>
        <v>#REF!</v>
      </c>
      <c r="I93" s="7"/>
    </row>
    <row r="94" spans="2:9" ht="18.75" customHeight="1" x14ac:dyDescent="0.2">
      <c r="B94" s="15" t="s">
        <v>47</v>
      </c>
      <c r="C94" s="25" t="str">
        <f>+VLOOKUP($B94,'CSM  PRICE LIST 26.1.3'!$A$2:$E$110,2,FALSE)</f>
        <v>RIDER</v>
      </c>
      <c r="D94" s="32" t="str">
        <f>+VLOOKUP($B94,'CSM  PRICE LIST 26.1.3'!$A$2:$E$110,3,FALSE)</f>
        <v>ERKEK UZUN KOL YARIŞMA POLO</v>
      </c>
      <c r="E94" s="16">
        <f>+VLOOKUP($B94,'MASTER PRICE LIST'!$B$9:$K$117,4,FALSE)</f>
        <v>99.9</v>
      </c>
      <c r="F94" s="9">
        <f>+VLOOKUP($B94,'MASTER PRICE LIST'!$B$9:$K$117,5,FALSE)</f>
        <v>5490</v>
      </c>
      <c r="G94" s="10">
        <f t="shared" si="2"/>
        <v>2745</v>
      </c>
      <c r="H94" s="81"/>
      <c r="I94" s="7"/>
    </row>
    <row r="95" spans="2:9" ht="18.75" customHeight="1" x14ac:dyDescent="0.2">
      <c r="B95" s="15" t="s">
        <v>48</v>
      </c>
      <c r="C95" s="25" t="str">
        <f>+VLOOKUP($B95,'CSM  PRICE LIST 26.1.3'!$A$2:$E$110,2,FALSE)</f>
        <v>RIDER</v>
      </c>
      <c r="D95" s="32" t="str">
        <f>+VLOOKUP($B95,'CSM  PRICE LIST 26.1.3'!$A$2:$E$110,3,FALSE)</f>
        <v>ERKEK UZUN KOL YARIŞMA POLO</v>
      </c>
      <c r="E95" s="16">
        <f>+VLOOKUP($B95,'MASTER PRICE LIST'!$B$9:$K$117,4,FALSE)</f>
        <v>99.9</v>
      </c>
      <c r="F95" s="9">
        <f>+VLOOKUP($B95,'MASTER PRICE LIST'!$B$9:$K$117,5,FALSE)</f>
        <v>5490</v>
      </c>
      <c r="G95" s="10">
        <f t="shared" si="2"/>
        <v>2745</v>
      </c>
      <c r="H95" s="81" t="e">
        <f>+VLOOKUP($B95,'CSM  PRICE LIST 26.1.3'!$A:$G,8,FALSE)</f>
        <v>#REF!</v>
      </c>
      <c r="I95" s="7"/>
    </row>
    <row r="96" spans="2:9" ht="18.75" customHeight="1" x14ac:dyDescent="0.2">
      <c r="B96" s="15" t="s">
        <v>83</v>
      </c>
      <c r="C96" s="25" t="str">
        <f>+VLOOKUP($B96,'CSM  PRICE LIST 26.1.3'!$A$2:$E$110,2,FALSE)</f>
        <v>RIDER</v>
      </c>
      <c r="D96" s="32" t="str">
        <f>+VLOOKUP($B96,'CSM  PRICE LIST 26.1.3'!$A$2:$E$110,3,FALSE)</f>
        <v>KADIN KISA KOL YARIŞMA POLO</v>
      </c>
      <c r="E96" s="16">
        <f>+VLOOKUP($B96,'MASTER PRICE LIST'!$B$9:$K$117,4,FALSE)</f>
        <v>99.9</v>
      </c>
      <c r="F96" s="9">
        <f>+VLOOKUP($B96,'MASTER PRICE LIST'!$B$9:$K$117,5,FALSE)</f>
        <v>5490</v>
      </c>
      <c r="G96" s="10">
        <f t="shared" si="2"/>
        <v>2745</v>
      </c>
      <c r="H96" s="81"/>
      <c r="I96" s="7"/>
    </row>
    <row r="97" spans="1:9" ht="18.75" customHeight="1" x14ac:dyDescent="0.2">
      <c r="B97" s="15" t="s">
        <v>66</v>
      </c>
      <c r="C97" s="25" t="str">
        <f>+VLOOKUP($B97,'CSM  PRICE LIST 26.1.3'!$A$2:$E$110,2,FALSE)</f>
        <v>RIDER</v>
      </c>
      <c r="D97" s="32" t="str">
        <f>+VLOOKUP($B97,'CSM  PRICE LIST 26.1.3'!$A$2:$E$110,3,FALSE)</f>
        <v>KADIN FULL GRIP PRO BİNİCİ TAYTI</v>
      </c>
      <c r="E97" s="16">
        <f>+VLOOKUP($B97,'MASTER PRICE LIST'!$B$9:$K$117,4,FALSE)</f>
        <v>109.9</v>
      </c>
      <c r="F97" s="9">
        <f>+VLOOKUP($B97,'MASTER PRICE LIST'!$B$9:$K$117,5,FALSE)</f>
        <v>6040</v>
      </c>
      <c r="G97" s="10">
        <f t="shared" si="2"/>
        <v>3020</v>
      </c>
      <c r="H97" s="81" t="e">
        <f>+VLOOKUP($B97,'CSM  PRICE LIST 26.1.3'!$A:$G,8,FALSE)</f>
        <v>#REF!</v>
      </c>
      <c r="I97" s="7"/>
    </row>
    <row r="98" spans="1:9" ht="18.75" customHeight="1" x14ac:dyDescent="0.2">
      <c r="B98" s="15" t="s">
        <v>138</v>
      </c>
      <c r="C98" s="25" t="str">
        <f>+VLOOKUP($B98,'CSM  PRICE LIST 26.1.3'!$A$2:$E$110,2,FALSE)</f>
        <v>RIDER</v>
      </c>
      <c r="D98" s="32" t="str">
        <f>+VLOOKUP($B98,'CSM  PRICE LIST 26.1.3'!$A$2:$E$110,3,FALSE)</f>
        <v>KADIN UZUN KOL YARIŞMA POLO X TEAM TÜRKİYE</v>
      </c>
      <c r="E98" s="16">
        <f>+VLOOKUP($B98,'MASTER PRICE LIST'!$B$9:$K$117,4,FALSE)</f>
        <v>109.9</v>
      </c>
      <c r="F98" s="9">
        <f>+VLOOKUP($B98,'MASTER PRICE LIST'!$B$9:$K$117,5,FALSE)</f>
        <v>6040</v>
      </c>
      <c r="G98" s="10">
        <f t="shared" si="2"/>
        <v>3020</v>
      </c>
      <c r="H98" s="81" t="e">
        <f>+VLOOKUP($B98,'CSM  PRICE LIST 26.1.3'!$A:$G,8,FALSE)</f>
        <v>#REF!</v>
      </c>
      <c r="I98" s="7"/>
    </row>
    <row r="99" spans="1:9" s="24" customFormat="1" ht="15.75" x14ac:dyDescent="0.2">
      <c r="A99" s="6"/>
      <c r="B99" s="15" t="s">
        <v>139</v>
      </c>
      <c r="C99" s="25" t="str">
        <f>+VLOOKUP($B99,'CSM  PRICE LIST 26.1.3'!$A$2:$E$110,2,FALSE)</f>
        <v>RIDER</v>
      </c>
      <c r="D99" s="32" t="str">
        <f>+VLOOKUP($B99,'CSM  PRICE LIST 26.1.3'!$A$2:$E$110,3,FALSE)</f>
        <v>ERKEK UZUN KOL YARIŞMA POLO X TEAM TÜRKİYE</v>
      </c>
      <c r="E99" s="16">
        <f>+VLOOKUP($B99,'MASTER PRICE LIST'!$B$9:$K$117,4,FALSE)</f>
        <v>109.9</v>
      </c>
      <c r="F99" s="9">
        <f>+VLOOKUP($B99,'MASTER PRICE LIST'!$B$9:$K$117,5,FALSE)</f>
        <v>6040</v>
      </c>
      <c r="G99" s="10">
        <f t="shared" si="2"/>
        <v>3020</v>
      </c>
      <c r="H99" s="81" t="e">
        <f>+VLOOKUP($B99,'CSM  PRICE LIST 26.1.3'!$A:$G,8,FALSE)</f>
        <v>#REF!</v>
      </c>
    </row>
    <row r="100" spans="1:9" s="3" customFormat="1" ht="15.75" x14ac:dyDescent="0.2">
      <c r="B100" s="15" t="s">
        <v>82</v>
      </c>
      <c r="C100" s="25" t="str">
        <f>+VLOOKUP($B100,'CSM  PRICE LIST 26.1.3'!$A$2:$E$110,2,FALSE)</f>
        <v>RIDER</v>
      </c>
      <c r="D100" s="32" t="str">
        <f>+VLOOKUP($B100,'CSM  PRICE LIST 26.1.3'!$A$2:$E$110,3,FALSE)</f>
        <v>STRASS TAŞ DETAYLI KADIN KISA KOL YARIŞMA POLO</v>
      </c>
      <c r="E100" s="16">
        <f>+VLOOKUP($B100,'MASTER PRICE LIST'!$B$9:$K$117,4,FALSE)</f>
        <v>109.9</v>
      </c>
      <c r="F100" s="9">
        <f>+VLOOKUP($B100,'MASTER PRICE LIST'!$B$9:$K$117,5,FALSE)</f>
        <v>6040</v>
      </c>
      <c r="G100" s="10">
        <f t="shared" si="2"/>
        <v>3020</v>
      </c>
      <c r="H100" s="81" t="e">
        <f>+VLOOKUP($B100,'CSM  PRICE LIST 26.1.3'!$A:$G,8,FALSE)</f>
        <v>#REF!</v>
      </c>
    </row>
    <row r="101" spans="1:9" s="3" customFormat="1" ht="15.75" x14ac:dyDescent="0.2">
      <c r="B101" s="15" t="s">
        <v>51</v>
      </c>
      <c r="C101" s="25" t="str">
        <f>+VLOOKUP($B101,'CSM  PRICE LIST 26.1.3'!$A$2:$E$110,2,FALSE)</f>
        <v>RIDER</v>
      </c>
      <c r="D101" s="32" t="str">
        <f>+VLOOKUP($B101,'CSM  PRICE LIST 26.1.3'!$A$2:$E$110,3,FALSE)</f>
        <v>ERKEK UZUN KOL YARIŞMA GÖMLEĞİ - DÜĞMELİ YAKA</v>
      </c>
      <c r="E101" s="16">
        <f>+VLOOKUP($B101,'MASTER PRICE LIST'!$B$9:$K$117,4,FALSE)</f>
        <v>129.9</v>
      </c>
      <c r="F101" s="9">
        <f>+VLOOKUP($B101,'MASTER PRICE LIST'!$B$9:$K$117,5,FALSE)</f>
        <v>7140</v>
      </c>
      <c r="G101" s="10">
        <f t="shared" si="2"/>
        <v>3570</v>
      </c>
      <c r="H101" s="81" t="e">
        <f>+VLOOKUP($B101,'CSM  PRICE LIST 26.1.3'!$A:$G,8,FALSE)</f>
        <v>#REF!</v>
      </c>
    </row>
    <row r="102" spans="1:9" s="3" customFormat="1" ht="15.75" x14ac:dyDescent="0.2">
      <c r="B102" s="15" t="s">
        <v>143</v>
      </c>
      <c r="C102" s="25" t="str">
        <f>+VLOOKUP($B102,'CSM  PRICE LIST 26.1.3'!$A$2:$E$110,2,FALSE)</f>
        <v>RIDER</v>
      </c>
      <c r="D102" s="32" t="str">
        <f>+VLOOKUP($B102,'CSM  PRICE LIST 26.1.3'!$A$2:$E$110,3,FALSE)</f>
        <v>KADIN UZUN KOL CASUAL GÖMLEK</v>
      </c>
      <c r="E102" s="16">
        <f>+VLOOKUP($B102,'MASTER PRICE LIST'!$B$9:$K$117,4,FALSE)</f>
        <v>129.9</v>
      </c>
      <c r="F102" s="9">
        <f>+VLOOKUP($B102,'MASTER PRICE LIST'!$B$9:$K$117,5,FALSE)</f>
        <v>7140</v>
      </c>
      <c r="G102" s="10">
        <f t="shared" si="2"/>
        <v>3570</v>
      </c>
      <c r="H102" s="81"/>
    </row>
    <row r="103" spans="1:9" s="3" customFormat="1" ht="15.75" x14ac:dyDescent="0.2">
      <c r="B103" s="15" t="s">
        <v>56</v>
      </c>
      <c r="C103" s="25" t="str">
        <f>+VLOOKUP($B103,'CSM  PRICE LIST 26.1.3'!$A$2:$E$110,2,FALSE)</f>
        <v>RIDER</v>
      </c>
      <c r="D103" s="32" t="str">
        <f>+VLOOKUP($B103,'CSM  PRICE LIST 26.1.3'!$A$2:$E$110,3,FALSE)</f>
        <v>KADIN ÖN PANELLİ YARIŞMA GÖMLEĞİ</v>
      </c>
      <c r="E103" s="16">
        <f>+VLOOKUP($B103,'MASTER PRICE LIST'!$B$9:$K$117,4,FALSE)</f>
        <v>129.9</v>
      </c>
      <c r="F103" s="9">
        <f>+VLOOKUP($B103,'MASTER PRICE LIST'!$B$9:$K$117,5,FALSE)</f>
        <v>7140</v>
      </c>
      <c r="G103" s="10">
        <f t="shared" si="2"/>
        <v>3570</v>
      </c>
      <c r="H103" s="81" t="e">
        <f>+VLOOKUP($B103,'CSM  PRICE LIST 26.1.3'!$A:$G,8,FALSE)</f>
        <v>#REF!</v>
      </c>
    </row>
    <row r="104" spans="1:9" s="3" customFormat="1" ht="15.75" x14ac:dyDescent="0.2">
      <c r="B104" s="15" t="s">
        <v>151</v>
      </c>
      <c r="C104" s="25" t="str">
        <f>+VLOOKUP($B104,'CSM  PRICE LIST 26.1.3'!$A$2:$E$110,2,FALSE)</f>
        <v>RIDER</v>
      </c>
      <c r="D104" s="32" t="str">
        <f>+VLOOKUP($B104,'CSM  PRICE LIST 26.1.3'!$A$2:$E$110,3,FALSE)</f>
        <v>KADIN OVERSIZE CASUAL GÖMLEK</v>
      </c>
      <c r="E104" s="16">
        <f>+VLOOKUP($B104,'MASTER PRICE LIST'!$B$9:$K$117,4,FALSE)</f>
        <v>129.9</v>
      </c>
      <c r="F104" s="9">
        <f>+VLOOKUP($B104,'MASTER PRICE LIST'!$B$9:$K$117,5,FALSE)</f>
        <v>7140</v>
      </c>
      <c r="G104" s="10">
        <f t="shared" ref="G104" si="4">+F104*0.5</f>
        <v>3570</v>
      </c>
      <c r="H104" s="81"/>
    </row>
    <row r="105" spans="1:9" s="3" customFormat="1" ht="15.75" x14ac:dyDescent="0.2">
      <c r="B105" s="15" t="s">
        <v>140</v>
      </c>
      <c r="C105" s="25" t="str">
        <f>+VLOOKUP($B105,'CSM  PRICE LIST 26.1.3'!$A$2:$E$110,2,FALSE)</f>
        <v>RIDER</v>
      </c>
      <c r="D105" s="32" t="str">
        <f>+VLOOKUP($B105,'CSM  PRICE LIST 26.1.3'!$A$2:$E$110,3,FALSE)</f>
        <v>ERKEK UZUN KOL YARIŞMA GÖMLEĞİ - AÇIK YAKA</v>
      </c>
      <c r="E105" s="16">
        <f>+VLOOKUP($B105,'MASTER PRICE LIST'!$B$9:$K$117,4,FALSE)</f>
        <v>129.9</v>
      </c>
      <c r="F105" s="9">
        <f>+VLOOKUP($B105,'MASTER PRICE LIST'!$B$9:$K$117,5,FALSE)</f>
        <v>7140</v>
      </c>
      <c r="G105" s="10">
        <f t="shared" si="2"/>
        <v>3570</v>
      </c>
      <c r="H105" s="81" t="e">
        <f>+VLOOKUP($B105,'CSM  PRICE LIST 26.1.3'!$A:$G,8,FALSE)</f>
        <v>#REF!</v>
      </c>
    </row>
    <row r="106" spans="1:9" s="3" customFormat="1" ht="15.75" x14ac:dyDescent="0.2">
      <c r="B106" s="15" t="s">
        <v>142</v>
      </c>
      <c r="C106" s="25" t="str">
        <f>+VLOOKUP($B106,'CSM  PRICE LIST 26.1.3'!$A$2:$E$110,2,FALSE)</f>
        <v>RIDER</v>
      </c>
      <c r="D106" s="32" t="str">
        <f>+VLOOKUP($B106,'CSM  PRICE LIST 26.1.3'!$A$2:$E$110,3,FALSE)</f>
        <v>ERKEK UZUN KOL YARIŞMA GÖMLEĞİ - AÇIK YAKA</v>
      </c>
      <c r="E106" s="16">
        <f>+VLOOKUP($B106,'MASTER PRICE LIST'!$B$9:$K$117,4,FALSE)</f>
        <v>129.9</v>
      </c>
      <c r="F106" s="9">
        <f>+VLOOKUP($B106,'MASTER PRICE LIST'!$B$9:$K$117,5,FALSE)</f>
        <v>7140</v>
      </c>
      <c r="G106" s="10">
        <f t="shared" si="2"/>
        <v>3570</v>
      </c>
      <c r="H106" s="81"/>
    </row>
    <row r="107" spans="1:9" s="3" customFormat="1" ht="15.75" x14ac:dyDescent="0.2">
      <c r="B107" s="15" t="s">
        <v>65</v>
      </c>
      <c r="C107" s="25" t="str">
        <f>+VLOOKUP($B107,'CSM  PRICE LIST 26.1.3'!$A$2:$E$110,2,FALSE)</f>
        <v>RIDER</v>
      </c>
      <c r="D107" s="32" t="str">
        <f>+VLOOKUP($B107,'CSM  PRICE LIST 26.1.3'!$A$2:$E$110,3,FALSE)</f>
        <v>ÇOCUK UNISEX BİNİCİ PANTOLONU</v>
      </c>
      <c r="E107" s="16">
        <f>+VLOOKUP($B107,'MASTER PRICE LIST'!$B$9:$K$117,4,FALSE)</f>
        <v>159.9</v>
      </c>
      <c r="F107" s="9">
        <f>+VLOOKUP($B107,'MASTER PRICE LIST'!$B$9:$K$117,5,FALSE)</f>
        <v>8790</v>
      </c>
      <c r="G107" s="10">
        <f t="shared" si="2"/>
        <v>4395</v>
      </c>
      <c r="H107" s="81" t="e">
        <f>+VLOOKUP($B107,'CSM  PRICE LIST 26.1.3'!$A:$G,8,FALSE)</f>
        <v>#REF!</v>
      </c>
    </row>
    <row r="108" spans="1:9" s="3" customFormat="1" ht="15.75" x14ac:dyDescent="0.2">
      <c r="B108" s="15" t="s">
        <v>148</v>
      </c>
      <c r="C108" s="25" t="str">
        <f>+VLOOKUP($B108,'CSM  PRICE LIST 26.1.3'!$A$2:$E$110,2,FALSE)</f>
        <v>RIDER</v>
      </c>
      <c r="D108" s="32" t="str">
        <f>+VLOOKUP($B108,'CSM  PRICE LIST 26.1.3'!$A$2:$E$110,3,FALSE)</f>
        <v>KIŞLIK ÇOCUK UNISEX BİNİCİ PANTOLONU</v>
      </c>
      <c r="E108" s="16">
        <f>+VLOOKUP($B108,'MASTER PRICE LIST'!$B$9:$K$117,4,FALSE)</f>
        <v>169.9</v>
      </c>
      <c r="F108" s="9">
        <f>+VLOOKUP($B108,'MASTER PRICE LIST'!$B$9:$K$117,5,FALSE)</f>
        <v>9340</v>
      </c>
      <c r="G108" s="10">
        <f t="shared" si="2"/>
        <v>4670</v>
      </c>
      <c r="H108" s="81"/>
    </row>
    <row r="109" spans="1:9" s="3" customFormat="1" ht="15.75" x14ac:dyDescent="0.2">
      <c r="B109" s="15" t="s">
        <v>64</v>
      </c>
      <c r="C109" s="25" t="str">
        <f>+VLOOKUP($B109,'CSM  PRICE LIST 26.1.3'!$A$2:$E$110,2,FALSE)</f>
        <v>RIDER</v>
      </c>
      <c r="D109" s="32" t="str">
        <f>+VLOOKUP($B109,'CSM  PRICE LIST 26.1.3'!$A$2:$E$110,3,FALSE)</f>
        <v>KADIN PRO BİNİCİ PANTOLONU</v>
      </c>
      <c r="E109" s="16">
        <f>+VLOOKUP($B109,'MASTER PRICE LIST'!$B$9:$K$117,4,FALSE)</f>
        <v>219.9</v>
      </c>
      <c r="F109" s="9">
        <f>+VLOOKUP($B109,'MASTER PRICE LIST'!$B$9:$K$117,5,FALSE)</f>
        <v>12090</v>
      </c>
      <c r="G109" s="10">
        <f t="shared" si="2"/>
        <v>6045</v>
      </c>
      <c r="H109" s="81" t="e">
        <f>+VLOOKUP($B109,'CSM  PRICE LIST 26.1.3'!$A:$G,8,FALSE)</f>
        <v>#REF!</v>
      </c>
    </row>
    <row r="110" spans="1:9" s="3" customFormat="1" ht="15.75" x14ac:dyDescent="0.2">
      <c r="B110" s="15" t="s">
        <v>149</v>
      </c>
      <c r="C110" s="25" t="str">
        <f>+VLOOKUP($B110,'CSM  PRICE LIST 26.1.3'!$A$2:$E$110,2,FALSE)</f>
        <v>RIDER</v>
      </c>
      <c r="D110" s="32" t="str">
        <f>+VLOOKUP($B110,'CSM  PRICE LIST 26.1.3'!$A$2:$E$110,3,FALSE)</f>
        <v>KIŞLIK KADIN PRO BİNİCİ PANTOLONU</v>
      </c>
      <c r="E110" s="16">
        <f>+VLOOKUP($B110,'MASTER PRICE LIST'!$B$9:$K$117,4,FALSE)</f>
        <v>229.9</v>
      </c>
      <c r="F110" s="9">
        <f>+VLOOKUP($B110,'MASTER PRICE LIST'!$B$9:$K$117,5,FALSE)</f>
        <v>12640</v>
      </c>
      <c r="G110" s="10">
        <f t="shared" si="2"/>
        <v>6320</v>
      </c>
      <c r="H110" s="81"/>
    </row>
    <row r="111" spans="1:9" s="3" customFormat="1" ht="15.75" x14ac:dyDescent="0.2">
      <c r="B111" s="15" t="s">
        <v>63</v>
      </c>
      <c r="C111" s="25" t="str">
        <f>+VLOOKUP($B111,'CSM  PRICE LIST 26.1.3'!$A$2:$E$110,2,FALSE)</f>
        <v>RIDER</v>
      </c>
      <c r="D111" s="32" t="str">
        <f>+VLOOKUP($B111,'CSM  PRICE LIST 26.1.3'!$A$2:$E$110,3,FALSE)</f>
        <v>ERKEK PRO BİNİCİ PANTOLONU</v>
      </c>
      <c r="E111" s="16">
        <f>+VLOOKUP($B111,'MASTER PRICE LIST'!$B$9:$K$117,4,FALSE)</f>
        <v>219.9</v>
      </c>
      <c r="F111" s="9">
        <f>+VLOOKUP($B111,'MASTER PRICE LIST'!$B$9:$K$117,5,FALSE)</f>
        <v>12090</v>
      </c>
      <c r="G111" s="10">
        <f t="shared" si="2"/>
        <v>6045</v>
      </c>
      <c r="H111" s="81" t="e">
        <f>+VLOOKUP($B111,'CSM  PRICE LIST 26.1.3'!$A:$G,8,FALSE)</f>
        <v>#REF!</v>
      </c>
    </row>
    <row r="112" spans="1:9" s="3" customFormat="1" ht="15.75" x14ac:dyDescent="0.2">
      <c r="B112" s="15" t="s">
        <v>150</v>
      </c>
      <c r="C112" s="25" t="str">
        <f>+VLOOKUP($B112,'CSM  PRICE LIST 26.1.3'!$A$2:$E$110,2,FALSE)</f>
        <v>RIDER</v>
      </c>
      <c r="D112" s="32" t="str">
        <f>+VLOOKUP($B112,'CSM  PRICE LIST 26.1.3'!$A$2:$E$110,3,FALSE)</f>
        <v>KIŞLIK ERKEK PRO BİNİCİ PANTOLONU</v>
      </c>
      <c r="E112" s="16">
        <f>+VLOOKUP($B112,'MASTER PRICE LIST'!$B$9:$K$117,4,FALSE)</f>
        <v>229.9</v>
      </c>
      <c r="F112" s="9">
        <f>+VLOOKUP($B112,'MASTER PRICE LIST'!$B$9:$K$117,5,FALSE)</f>
        <v>12640</v>
      </c>
      <c r="G112" s="10">
        <f t="shared" si="2"/>
        <v>6320</v>
      </c>
      <c r="H112" s="81"/>
    </row>
    <row r="113" spans="1:8" s="3" customFormat="1" ht="15.75" x14ac:dyDescent="0.2">
      <c r="B113" s="15" t="s">
        <v>68</v>
      </c>
      <c r="C113" s="25" t="str">
        <f>+VLOOKUP($B113,'CSM  PRICE LIST 26.1.3'!$A$2:$E$110,2,FALSE)</f>
        <v>RIDER</v>
      </c>
      <c r="D113" s="32" t="str">
        <f>+VLOOKUP($B113,'CSM  PRICE LIST 26.1.3'!$A$2:$E$110,3,FALSE)</f>
        <v>ERKEK PRO YARIŞMA CEKETİ</v>
      </c>
      <c r="E113" s="16">
        <f>+VLOOKUP($B113,'MASTER PRICE LIST'!$B$9:$K$117,4,FALSE)</f>
        <v>449.9</v>
      </c>
      <c r="F113" s="9">
        <f>+VLOOKUP($B113,'MASTER PRICE LIST'!$B$9:$K$117,5,FALSE)</f>
        <v>24740</v>
      </c>
      <c r="G113" s="10">
        <f t="shared" ref="G113:G117" si="5">+F113*0.5</f>
        <v>12370</v>
      </c>
      <c r="H113" s="81" t="e">
        <f>+VLOOKUP($B113,'CSM  PRICE LIST 26.1.3'!$A:$G,8,FALSE)</f>
        <v>#REF!</v>
      </c>
    </row>
    <row r="114" spans="1:8" s="3" customFormat="1" ht="15.75" x14ac:dyDescent="0.2">
      <c r="B114" s="15" t="s">
        <v>69</v>
      </c>
      <c r="C114" s="25" t="str">
        <f>+VLOOKUP($B114,'CSM  PRICE LIST 26.1.3'!$A$2:$E$110,2,FALSE)</f>
        <v>RIDER</v>
      </c>
      <c r="D114" s="32" t="str">
        <f>+VLOOKUP($B114,'CSM  PRICE LIST 26.1.3'!$A$2:$E$110,3,FALSE)</f>
        <v>KADIN PRO YARIŞMA CEKETİ</v>
      </c>
      <c r="E114" s="16">
        <f>+VLOOKUP($B114,'MASTER PRICE LIST'!$B$9:$K$117,4,FALSE)</f>
        <v>449.9</v>
      </c>
      <c r="F114" s="9">
        <f>+VLOOKUP($B114,'MASTER PRICE LIST'!$B$9:$K$117,5,FALSE)</f>
        <v>24740</v>
      </c>
      <c r="G114" s="10">
        <f t="shared" si="5"/>
        <v>12370</v>
      </c>
      <c r="H114" s="81" t="e">
        <f>+VLOOKUP($B114,'CSM  PRICE LIST 26.1.3'!$A:$G,8,FALSE)</f>
        <v>#REF!</v>
      </c>
    </row>
    <row r="115" spans="1:8" s="3" customFormat="1" ht="15.75" x14ac:dyDescent="0.2">
      <c r="B115" s="15" t="s">
        <v>112</v>
      </c>
      <c r="C115" s="25" t="str">
        <f>+VLOOKUP($B115,'CSM  PRICE LIST 26.1.3'!$A$2:$E$110,2,FALSE)</f>
        <v>RIDER</v>
      </c>
      <c r="D115" s="32" t="str">
        <f>+VLOOKUP($B115,'CSM  PRICE LIST 26.1.3'!$A$2:$E$110,3,FALSE)</f>
        <v>KADIN PRO YARIŞMA CEKETİ</v>
      </c>
      <c r="E115" s="16">
        <f>+VLOOKUP($B115,'MASTER PRICE LIST'!$B$9:$K$117,4,FALSE)</f>
        <v>449.9</v>
      </c>
      <c r="F115" s="9">
        <f>+VLOOKUP($B115,'MASTER PRICE LIST'!$B$9:$K$117,5,FALSE)</f>
        <v>24740</v>
      </c>
      <c r="G115" s="10">
        <f t="shared" si="5"/>
        <v>12370</v>
      </c>
      <c r="H115" s="81" t="e">
        <f>+VLOOKUP($B115,'CSM  PRICE LIST 26.1.3'!$A:$G,8,FALSE)</f>
        <v>#REF!</v>
      </c>
    </row>
    <row r="116" spans="1:8" s="3" customFormat="1" ht="15.75" x14ac:dyDescent="0.2">
      <c r="B116" s="15" t="s">
        <v>110</v>
      </c>
      <c r="C116" s="25" t="str">
        <f>+VLOOKUP($B116,'CSM  PRICE LIST 26.1.3'!$A$2:$E$110,2,FALSE)</f>
        <v>RIDER</v>
      </c>
      <c r="D116" s="32" t="str">
        <f>+VLOOKUP($B116,'CSM  PRICE LIST 26.1.3'!$A$2:$E$110,3,FALSE)</f>
        <v>ERKEK PRO YARIŞMA CEKETİ X TEAM TÜRKİYE</v>
      </c>
      <c r="E116" s="16">
        <f>+VLOOKUP($B116,'MASTER PRICE LIST'!$B$9:$K$117,4,FALSE)</f>
        <v>499.9</v>
      </c>
      <c r="F116" s="9">
        <f>+VLOOKUP($B116,'MASTER PRICE LIST'!$B$9:$K$117,5,FALSE)</f>
        <v>27490</v>
      </c>
      <c r="G116" s="10">
        <f t="shared" si="5"/>
        <v>13745</v>
      </c>
      <c r="H116" s="81" t="e">
        <f>+VLOOKUP($B116,'CSM  PRICE LIST 26.1.3'!$A:$G,8,FALSE)</f>
        <v>#REF!</v>
      </c>
    </row>
    <row r="117" spans="1:8" s="3" customFormat="1" ht="16.5" thickBot="1" x14ac:dyDescent="0.25">
      <c r="B117" s="35" t="s">
        <v>111</v>
      </c>
      <c r="C117" s="36" t="str">
        <f>+VLOOKUP($B117,'CSM  PRICE LIST 26.1.3'!$A$2:$E$110,2,FALSE)</f>
        <v>RIDER</v>
      </c>
      <c r="D117" s="37" t="str">
        <f>+VLOOKUP($B117,'CSM  PRICE LIST 26.1.3'!$A$2:$E$110,3,FALSE)</f>
        <v>KADIN PRO YARIŞMA CEKETİ X TEAM TÜRKİYE</v>
      </c>
      <c r="E117" s="38">
        <f>+VLOOKUP($B117,'MASTER PRICE LIST'!$B$9:$K$117,4,FALSE)</f>
        <v>499.9</v>
      </c>
      <c r="F117" s="39">
        <f>+VLOOKUP($B117,'MASTER PRICE LIST'!$B$9:$K$117,5,FALSE)</f>
        <v>27490</v>
      </c>
      <c r="G117" s="40">
        <f t="shared" si="5"/>
        <v>13745</v>
      </c>
      <c r="H117" s="81" t="e">
        <f>+VLOOKUP($B117,'CSM  PRICE LIST 26.1.3'!$A:$G,8,FALSE)</f>
        <v>#REF!</v>
      </c>
    </row>
    <row r="118" spans="1:8" s="3" customFormat="1" ht="12.75" x14ac:dyDescent="0.2">
      <c r="D118" s="33"/>
    </row>
    <row r="119" spans="1:8" s="3" customFormat="1" ht="12.75" x14ac:dyDescent="0.2">
      <c r="D119" s="33"/>
    </row>
    <row r="120" spans="1:8" ht="12.75" x14ac:dyDescent="0.2">
      <c r="A120"/>
      <c r="B120"/>
      <c r="C120"/>
      <c r="E120"/>
    </row>
    <row r="121" spans="1:8" ht="12.75" x14ac:dyDescent="0.2">
      <c r="A121"/>
      <c r="B121"/>
      <c r="C121"/>
      <c r="E121"/>
    </row>
    <row r="122" spans="1:8" ht="12.75" x14ac:dyDescent="0.2">
      <c r="A122"/>
      <c r="B122"/>
      <c r="C122"/>
      <c r="E122"/>
    </row>
    <row r="123" spans="1:8" ht="12.75" x14ac:dyDescent="0.2">
      <c r="A123"/>
      <c r="B123"/>
      <c r="C123"/>
      <c r="E123"/>
    </row>
    <row r="124" spans="1:8" ht="12.75" x14ac:dyDescent="0.2">
      <c r="A124"/>
      <c r="B124"/>
      <c r="C124"/>
      <c r="E124"/>
    </row>
    <row r="125" spans="1:8" ht="12.75" x14ac:dyDescent="0.2">
      <c r="A125"/>
      <c r="B125"/>
      <c r="C125"/>
      <c r="E125"/>
    </row>
    <row r="126" spans="1:8" ht="12.75" x14ac:dyDescent="0.2">
      <c r="A126"/>
      <c r="B126"/>
      <c r="C126"/>
      <c r="E126"/>
    </row>
    <row r="127" spans="1:8" ht="12.75" x14ac:dyDescent="0.2">
      <c r="A127"/>
      <c r="B127"/>
      <c r="C127"/>
      <c r="E127"/>
    </row>
    <row r="128" spans="1:8" ht="12.75" x14ac:dyDescent="0.2">
      <c r="A128"/>
      <c r="B128"/>
      <c r="C128"/>
      <c r="E128"/>
    </row>
    <row r="129" spans="4:4" customFormat="1" ht="12.75" x14ac:dyDescent="0.2">
      <c r="D129" s="34"/>
    </row>
    <row r="130" spans="4:4" customFormat="1" ht="12.75" x14ac:dyDescent="0.2">
      <c r="D130" s="34"/>
    </row>
    <row r="131" spans="4:4" customFormat="1" ht="12.75" x14ac:dyDescent="0.2">
      <c r="D131" s="34"/>
    </row>
    <row r="132" spans="4:4" customFormat="1" ht="12.75" x14ac:dyDescent="0.2">
      <c r="D132" s="34"/>
    </row>
    <row r="133" spans="4:4" customFormat="1" ht="12.75" x14ac:dyDescent="0.2">
      <c r="D133" s="34"/>
    </row>
    <row r="134" spans="4:4" customFormat="1" ht="12.75" x14ac:dyDescent="0.2">
      <c r="D134" s="34"/>
    </row>
    <row r="135" spans="4:4" customFormat="1" ht="12.75" x14ac:dyDescent="0.2">
      <c r="D135" s="34"/>
    </row>
    <row r="136" spans="4:4" customFormat="1" ht="12.75" x14ac:dyDescent="0.2">
      <c r="D136" s="34"/>
    </row>
    <row r="137" spans="4:4" customFormat="1" ht="12.75" x14ac:dyDescent="0.2">
      <c r="D137" s="34"/>
    </row>
    <row r="138" spans="4:4" customFormat="1" ht="12.75" x14ac:dyDescent="0.2">
      <c r="D138" s="34"/>
    </row>
    <row r="139" spans="4:4" customFormat="1" ht="12.75" x14ac:dyDescent="0.2">
      <c r="D139" s="34"/>
    </row>
    <row r="140" spans="4:4" customFormat="1" ht="12.75" x14ac:dyDescent="0.2">
      <c r="D140" s="34"/>
    </row>
    <row r="141" spans="4:4" customFormat="1" ht="12.75" x14ac:dyDescent="0.2">
      <c r="D141" s="34"/>
    </row>
    <row r="142" spans="4:4" customFormat="1" ht="12.75" x14ac:dyDescent="0.2">
      <c r="D142" s="34"/>
    </row>
    <row r="143" spans="4:4" customFormat="1" ht="12.75" x14ac:dyDescent="0.2">
      <c r="D143" s="34"/>
    </row>
    <row r="144" spans="4:4" customFormat="1" ht="12.75" x14ac:dyDescent="0.2">
      <c r="D144" s="34"/>
    </row>
    <row r="145" spans="4:4" customFormat="1" ht="12.75" x14ac:dyDescent="0.2">
      <c r="D145" s="34"/>
    </row>
    <row r="146" spans="4:4" customFormat="1" ht="12.75" x14ac:dyDescent="0.2">
      <c r="D146" s="34"/>
    </row>
    <row r="147" spans="4:4" customFormat="1" ht="12.75" x14ac:dyDescent="0.2">
      <c r="D147" s="34"/>
    </row>
    <row r="148" spans="4:4" customFormat="1" ht="12.75" x14ac:dyDescent="0.2">
      <c r="D148" s="34"/>
    </row>
    <row r="149" spans="4:4" customFormat="1" ht="12.75" x14ac:dyDescent="0.2">
      <c r="D149" s="34"/>
    </row>
    <row r="150" spans="4:4" customFormat="1" ht="12.75" x14ac:dyDescent="0.2">
      <c r="D150" s="34"/>
    </row>
    <row r="151" spans="4:4" customFormat="1" ht="12.75" x14ac:dyDescent="0.2">
      <c r="D151" s="34"/>
    </row>
    <row r="152" spans="4:4" customFormat="1" ht="12.75" x14ac:dyDescent="0.2">
      <c r="D152" s="34"/>
    </row>
    <row r="153" spans="4:4" customFormat="1" ht="12.75" x14ac:dyDescent="0.2">
      <c r="D153" s="34"/>
    </row>
    <row r="154" spans="4:4" customFormat="1" ht="12.75" x14ac:dyDescent="0.2">
      <c r="D154" s="34"/>
    </row>
    <row r="155" spans="4:4" customFormat="1" ht="12.75" x14ac:dyDescent="0.2">
      <c r="D155" s="34"/>
    </row>
    <row r="156" spans="4:4" customFormat="1" ht="12.75" x14ac:dyDescent="0.2">
      <c r="D156" s="34"/>
    </row>
    <row r="157" spans="4:4" customFormat="1" ht="12.75" x14ac:dyDescent="0.2">
      <c r="D157" s="34"/>
    </row>
    <row r="158" spans="4:4" customFormat="1" ht="12.75" x14ac:dyDescent="0.2">
      <c r="D158" s="34"/>
    </row>
    <row r="159" spans="4:4" customFormat="1" ht="12.75" x14ac:dyDescent="0.2">
      <c r="D159" s="34"/>
    </row>
    <row r="160" spans="4:4" customFormat="1" ht="12.75" x14ac:dyDescent="0.2">
      <c r="D160" s="34"/>
    </row>
    <row r="161" spans="4:4" customFormat="1" ht="12.75" x14ac:dyDescent="0.2">
      <c r="D161" s="34"/>
    </row>
    <row r="162" spans="4:4" customFormat="1" ht="12.75" x14ac:dyDescent="0.2">
      <c r="D162" s="34"/>
    </row>
    <row r="163" spans="4:4" customFormat="1" ht="12.75" x14ac:dyDescent="0.2">
      <c r="D163" s="34"/>
    </row>
    <row r="164" spans="4:4" customFormat="1" ht="12.75" x14ac:dyDescent="0.2">
      <c r="D164" s="34"/>
    </row>
    <row r="165" spans="4:4" customFormat="1" ht="12.75" x14ac:dyDescent="0.2">
      <c r="D165" s="34"/>
    </row>
    <row r="166" spans="4:4" customFormat="1" ht="12.75" x14ac:dyDescent="0.2">
      <c r="D166" s="34"/>
    </row>
    <row r="167" spans="4:4" customFormat="1" ht="12.75" x14ac:dyDescent="0.2">
      <c r="D167" s="34"/>
    </row>
    <row r="168" spans="4:4" customFormat="1" ht="12.75" x14ac:dyDescent="0.2">
      <c r="D168" s="34"/>
    </row>
    <row r="169" spans="4:4" customFormat="1" ht="12.75" x14ac:dyDescent="0.2">
      <c r="D169" s="34"/>
    </row>
    <row r="170" spans="4:4" customFormat="1" ht="12.75" x14ac:dyDescent="0.2">
      <c r="D170" s="34"/>
    </row>
    <row r="171" spans="4:4" customFormat="1" ht="12.75" x14ac:dyDescent="0.2">
      <c r="D171" s="34"/>
    </row>
    <row r="172" spans="4:4" customFormat="1" ht="12.75" x14ac:dyDescent="0.2">
      <c r="D172" s="34"/>
    </row>
    <row r="173" spans="4:4" customFormat="1" ht="12.75" x14ac:dyDescent="0.2">
      <c r="D173" s="34"/>
    </row>
    <row r="174" spans="4:4" customFormat="1" ht="12.75" x14ac:dyDescent="0.2">
      <c r="D174" s="34"/>
    </row>
    <row r="175" spans="4:4" customFormat="1" ht="12.75" x14ac:dyDescent="0.2">
      <c r="D175" s="34"/>
    </row>
    <row r="176" spans="4:4" customFormat="1" ht="12.75" x14ac:dyDescent="0.2">
      <c r="D176" s="34"/>
    </row>
    <row r="177" spans="4:4" customFormat="1" ht="12.75" x14ac:dyDescent="0.2">
      <c r="D177" s="34"/>
    </row>
    <row r="178" spans="4:4" customFormat="1" ht="12.75" x14ac:dyDescent="0.2">
      <c r="D178" s="34"/>
    </row>
    <row r="179" spans="4:4" customFormat="1" ht="12.75" x14ac:dyDescent="0.2">
      <c r="D179" s="34"/>
    </row>
    <row r="180" spans="4:4" customFormat="1" ht="12.75" x14ac:dyDescent="0.2">
      <c r="D180" s="34"/>
    </row>
    <row r="181" spans="4:4" customFormat="1" ht="12.75" x14ac:dyDescent="0.2">
      <c r="D181" s="34"/>
    </row>
    <row r="182" spans="4:4" customFormat="1" ht="12.75" x14ac:dyDescent="0.2">
      <c r="D182" s="34"/>
    </row>
    <row r="183" spans="4:4" customFormat="1" ht="12.75" x14ac:dyDescent="0.2">
      <c r="D183" s="34"/>
    </row>
    <row r="184" spans="4:4" customFormat="1" ht="12.75" x14ac:dyDescent="0.2">
      <c r="D184" s="34"/>
    </row>
    <row r="185" spans="4:4" customFormat="1" ht="12.75" x14ac:dyDescent="0.2">
      <c r="D185" s="34"/>
    </row>
    <row r="186" spans="4:4" customFormat="1" ht="12.75" x14ac:dyDescent="0.2">
      <c r="D186" s="34"/>
    </row>
    <row r="187" spans="4:4" customFormat="1" ht="12.75" x14ac:dyDescent="0.2">
      <c r="D187" s="34"/>
    </row>
    <row r="188" spans="4:4" customFormat="1" ht="12.75" x14ac:dyDescent="0.2">
      <c r="D188" s="34"/>
    </row>
    <row r="189" spans="4:4" customFormat="1" ht="12.75" x14ac:dyDescent="0.2">
      <c r="D189" s="34"/>
    </row>
    <row r="190" spans="4:4" customFormat="1" ht="12.75" x14ac:dyDescent="0.2">
      <c r="D190" s="34"/>
    </row>
    <row r="191" spans="4:4" customFormat="1" ht="12.75" x14ac:dyDescent="0.2">
      <c r="D191" s="34"/>
    </row>
    <row r="192" spans="4:4" customFormat="1" ht="12.75" x14ac:dyDescent="0.2">
      <c r="D192" s="34"/>
    </row>
    <row r="193" spans="4:4" customFormat="1" ht="12.75" x14ac:dyDescent="0.2">
      <c r="D193" s="34"/>
    </row>
    <row r="194" spans="4:4" customFormat="1" ht="12.75" x14ac:dyDescent="0.2">
      <c r="D194" s="34"/>
    </row>
    <row r="195" spans="4:4" customFormat="1" ht="12.75" x14ac:dyDescent="0.2">
      <c r="D195" s="34"/>
    </row>
    <row r="196" spans="4:4" customFormat="1" ht="12.75" x14ac:dyDescent="0.2">
      <c r="D196" s="34"/>
    </row>
    <row r="197" spans="4:4" customFormat="1" ht="12.75" x14ac:dyDescent="0.2">
      <c r="D197" s="34"/>
    </row>
    <row r="198" spans="4:4" customFormat="1" ht="12.75" x14ac:dyDescent="0.2">
      <c r="D198" s="34"/>
    </row>
    <row r="199" spans="4:4" customFormat="1" ht="12.75" x14ac:dyDescent="0.2">
      <c r="D199" s="34"/>
    </row>
    <row r="200" spans="4:4" customFormat="1" ht="12.75" x14ac:dyDescent="0.2">
      <c r="D200" s="34"/>
    </row>
    <row r="201" spans="4:4" customFormat="1" ht="12.75" x14ac:dyDescent="0.2">
      <c r="D201" s="34"/>
    </row>
    <row r="202" spans="4:4" customFormat="1" ht="12.75" x14ac:dyDescent="0.2">
      <c r="D202" s="34"/>
    </row>
    <row r="203" spans="4:4" customFormat="1" ht="12.75" x14ac:dyDescent="0.2">
      <c r="D203" s="34"/>
    </row>
    <row r="204" spans="4:4" customFormat="1" ht="12.75" x14ac:dyDescent="0.2">
      <c r="D204" s="34"/>
    </row>
    <row r="205" spans="4:4" customFormat="1" ht="12.75" x14ac:dyDescent="0.2">
      <c r="D205" s="34"/>
    </row>
    <row r="206" spans="4:4" customFormat="1" ht="12.75" x14ac:dyDescent="0.2">
      <c r="D206" s="34"/>
    </row>
    <row r="207" spans="4:4" customFormat="1" ht="12.75" x14ac:dyDescent="0.2">
      <c r="D207" s="34"/>
    </row>
    <row r="208" spans="4:4" customFormat="1" ht="12.75" x14ac:dyDescent="0.2">
      <c r="D208" s="34"/>
    </row>
    <row r="209" spans="1:5" ht="12.75" x14ac:dyDescent="0.2">
      <c r="A209"/>
      <c r="B209"/>
      <c r="C209"/>
      <c r="E209"/>
    </row>
    <row r="210" spans="1:5" ht="12.75" x14ac:dyDescent="0.2">
      <c r="A210"/>
      <c r="B210"/>
      <c r="C210"/>
      <c r="E210"/>
    </row>
    <row r="211" spans="1:5" ht="12.75" x14ac:dyDescent="0.2">
      <c r="A211"/>
      <c r="B211"/>
      <c r="C211"/>
      <c r="E211"/>
    </row>
    <row r="212" spans="1:5" ht="12.75" x14ac:dyDescent="0.2">
      <c r="A212"/>
      <c r="B212"/>
      <c r="C212"/>
      <c r="E212"/>
    </row>
    <row r="213" spans="1:5" ht="12.75" x14ac:dyDescent="0.2"/>
    <row r="214" spans="1:5" ht="12.75" x14ac:dyDescent="0.2"/>
    <row r="215" spans="1:5" ht="12.75" x14ac:dyDescent="0.2"/>
    <row r="216" spans="1:5" ht="12.75" x14ac:dyDescent="0.2"/>
    <row r="217" spans="1:5" ht="12.75" x14ac:dyDescent="0.2"/>
    <row r="218" spans="1:5" ht="12.75" x14ac:dyDescent="0.2"/>
    <row r="219" spans="1:5" ht="12.75" x14ac:dyDescent="0.2"/>
    <row r="220" spans="1:5" ht="12.75" x14ac:dyDescent="0.2"/>
  </sheetData>
  <autoFilter ref="B9:H117"/>
  <sortState ref="B11:G117">
    <sortCondition ref="C11:C117"/>
    <sortCondition ref="E11:E117"/>
    <sortCondition ref="B11:B117"/>
  </sortState>
  <mergeCells count="1">
    <mergeCell ref="B2:G7"/>
  </mergeCells>
  <conditionalFormatting sqref="A1:A7">
    <cfRule type="duplicateValues" dxfId="10" priority="5"/>
  </conditionalFormatting>
  <conditionalFormatting sqref="A213:A1048576 A8:A99">
    <cfRule type="duplicateValues" dxfId="9" priority="9"/>
  </conditionalFormatting>
  <conditionalFormatting sqref="B9:B92 B97:B106 B113:B117">
    <cfRule type="duplicateValues" dxfId="8" priority="255"/>
  </conditionalFormatting>
  <conditionalFormatting sqref="B24:B25">
    <cfRule type="duplicateValues" dxfId="7" priority="6"/>
  </conditionalFormatting>
  <conditionalFormatting sqref="B26:B92 B9:B23 B97:B106 B113:B117">
    <cfRule type="duplicateValues" dxfId="6" priority="10"/>
  </conditionalFormatting>
  <conditionalFormatting sqref="B93:B96">
    <cfRule type="duplicateValues" dxfId="5" priority="3"/>
    <cfRule type="duplicateValues" dxfId="4" priority="4"/>
  </conditionalFormatting>
  <conditionalFormatting sqref="B107:B112">
    <cfRule type="duplicateValues" dxfId="3" priority="1"/>
    <cfRule type="duplicateValues" dxfId="2" priority="2"/>
  </conditionalFormatting>
  <conditionalFormatting sqref="C8:C10">
    <cfRule type="duplicateValues" dxfId="1" priority="7"/>
  </conditionalFormatting>
  <conditionalFormatting sqref="C9:C10">
    <cfRule type="duplicateValues" dxfId="0" priority="8"/>
  </conditionalFormatting>
  <printOptions horizontalCentered="1"/>
  <pageMargins left="0.25" right="0.25" top="0.75" bottom="0.75" header="0.3" footer="0.3"/>
  <pageSetup paperSize="9" scale="55" orientation="portrait" verticalDpi="4294967293" r:id="rId1"/>
  <rowBreaks count="1" manualBreakCount="1">
    <brk id="117" min="1"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5</vt:i4>
      </vt:variant>
    </vt:vector>
  </HeadingPairs>
  <TitlesOfParts>
    <vt:vector size="9" baseType="lpstr">
      <vt:lpstr>CSM  PRICE LIST 26.1.3</vt:lpstr>
      <vt:lpstr>MASTER PRICE LIST</vt:lpstr>
      <vt:lpstr>PERAKENDE FİYAT LİSTESİ FULL</vt:lpstr>
      <vt:lpstr>BAYİ FİYAT LİSTESİ</vt:lpstr>
      <vt:lpstr>EURKUR</vt:lpstr>
      <vt:lpstr>'BAYİ FİYAT LİSTESİ'!Yazdırma_Alanı</vt:lpstr>
      <vt:lpstr>'CSM  PRICE LIST 26.1.3'!Yazdırma_Alanı</vt:lpstr>
      <vt:lpstr>'MASTER PRICE LIST'!Yazdırma_Alanı</vt:lpstr>
      <vt:lpstr>'PERAKENDE FİYAT LİSTESİ FULL'!Yazdırma_Alanı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Cemal KARABEL</dc:creator>
  <cp:lastModifiedBy>Kâsım GÜLCAN</cp:lastModifiedBy>
  <cp:lastPrinted>2026-01-18T18:15:42Z</cp:lastPrinted>
  <dcterms:created xsi:type="dcterms:W3CDTF">2022-09-07T18:55:52Z</dcterms:created>
  <dcterms:modified xsi:type="dcterms:W3CDTF">2026-05-01T14:00:14Z</dcterms:modified>
</cp:coreProperties>
</file>